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C\Documents\Capstone Project\"/>
    </mc:Choice>
  </mc:AlternateContent>
  <xr:revisionPtr revIDLastSave="0" documentId="13_ncr:1_{316BE1A3-5E4E-42E8-B51A-B31C5F056DB0}" xr6:coauthVersionLast="47" xr6:coauthVersionMax="47" xr10:uidLastSave="{00000000-0000-0000-0000-000000000000}"/>
  <bookViews>
    <workbookView xWindow="-120" yWindow="-120" windowWidth="24240" windowHeight="13140" firstSheet="1" activeTab="5" xr2:uid="{008328B9-515F-45B1-9A35-3EA6C177F82F}"/>
  </bookViews>
  <sheets>
    <sheet name="Palmoria Group emp-data - Copy" sheetId="1" r:id="rId1"/>
    <sheet name="Bonus Rules" sheetId="3" r:id="rId2"/>
    <sheet name="Palm" sheetId="9" r:id="rId3"/>
    <sheet name="Aggregates" sheetId="10" r:id="rId4"/>
    <sheet name="Insights" sheetId="4" r:id="rId5"/>
    <sheet name="DashBoard2" sheetId="15" r:id="rId6"/>
    <sheet name="Sheet3" sheetId="16" r:id="rId7"/>
    <sheet name="Dashboard" sheetId="11" state="hidden" r:id="rId8"/>
    <sheet name="Dashboard (3)" sheetId="13" state="hidden" r:id="rId9"/>
    <sheet name="Dashboard (2)" sheetId="12" state="hidden" r:id="rId10"/>
  </sheets>
  <definedNames>
    <definedName name="_xlcn.WorksheetConnection_PalmoriaGroupempdataCopy.xlsxpg_11" hidden="1">pg_1[]</definedName>
    <definedName name="ExternalData_1" localSheetId="2" hidden="1">Palm!$A$1:$K$875</definedName>
    <definedName name="Slicer_Department">#N/A</definedName>
    <definedName name="Slicer_Gender">#N/A</definedName>
    <definedName name="Slicer_Location">#N/A</definedName>
    <definedName name="Slicer_Meet_minimun">#N/A</definedName>
    <definedName name="Slicer_Rating">#N/A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s>
  <extLst>
    <ext xmlns:x14="http://schemas.microsoft.com/office/spreadsheetml/2009/9/main" uri="{876F7934-8845-4945-9796-88D515C7AA90}">
      <x14:pivotCaches>
        <pivotCache cacheId="18" r:id="rId29"/>
      </x14:pivotCaches>
    </ext>
    <ext xmlns:x14="http://schemas.microsoft.com/office/spreadsheetml/2009/9/main" uri="{BBE1A952-AA13-448e-AADC-164F8A28A991}">
      <x14:slicerCaches>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g_1" name="pg" connection="WorksheetConnection_Palmoria Group emp-data - Copy.xlsx!pg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9" l="1"/>
  <c r="L7" i="9"/>
  <c r="L875" i="9"/>
  <c r="L874" i="9"/>
  <c r="L873" i="9"/>
  <c r="L872" i="9"/>
  <c r="L871" i="9"/>
  <c r="L870" i="9"/>
  <c r="L869" i="9"/>
  <c r="L868" i="9"/>
  <c r="L867" i="9"/>
  <c r="L866" i="9"/>
  <c r="L865" i="9"/>
  <c r="L864" i="9"/>
  <c r="L863" i="9"/>
  <c r="L862" i="9"/>
  <c r="L861" i="9"/>
  <c r="L860" i="9"/>
  <c r="L859" i="9"/>
  <c r="L858" i="9"/>
  <c r="L857" i="9"/>
  <c r="L856" i="9"/>
  <c r="L855" i="9"/>
  <c r="L854" i="9"/>
  <c r="L853" i="9"/>
  <c r="L852" i="9"/>
  <c r="L851" i="9"/>
  <c r="L850" i="9"/>
  <c r="L849" i="9"/>
  <c r="L848" i="9"/>
  <c r="L847" i="9"/>
  <c r="L846" i="9"/>
  <c r="L845" i="9"/>
  <c r="L844" i="9"/>
  <c r="L843" i="9"/>
  <c r="L842" i="9"/>
  <c r="L841" i="9"/>
  <c r="L840" i="9"/>
  <c r="L839" i="9"/>
  <c r="L838" i="9"/>
  <c r="L837" i="9"/>
  <c r="L836" i="9"/>
  <c r="L835" i="9"/>
  <c r="L834" i="9"/>
  <c r="L833" i="9"/>
  <c r="L832" i="9"/>
  <c r="L831" i="9"/>
  <c r="L830" i="9"/>
  <c r="L829" i="9"/>
  <c r="L828" i="9"/>
  <c r="L827" i="9"/>
  <c r="L826" i="9"/>
  <c r="L825" i="9"/>
  <c r="L824" i="9"/>
  <c r="L823" i="9"/>
  <c r="L822" i="9"/>
  <c r="L821" i="9"/>
  <c r="L820" i="9"/>
  <c r="L819" i="9"/>
  <c r="L818" i="9"/>
  <c r="L817" i="9"/>
  <c r="L816" i="9"/>
  <c r="L815" i="9"/>
  <c r="L814" i="9"/>
  <c r="L813" i="9"/>
  <c r="L812" i="9"/>
  <c r="L811" i="9"/>
  <c r="L810" i="9"/>
  <c r="L809" i="9"/>
  <c r="L808" i="9"/>
  <c r="L807" i="9"/>
  <c r="L806" i="9"/>
  <c r="L805" i="9"/>
  <c r="L804" i="9"/>
  <c r="L803" i="9"/>
  <c r="L802" i="9"/>
  <c r="L801" i="9"/>
  <c r="L800" i="9"/>
  <c r="L799" i="9"/>
  <c r="L798" i="9"/>
  <c r="L797" i="9"/>
  <c r="L796" i="9"/>
  <c r="L795" i="9"/>
  <c r="L794" i="9"/>
  <c r="L793" i="9"/>
  <c r="L792" i="9"/>
  <c r="L791" i="9"/>
  <c r="L790" i="9"/>
  <c r="L789" i="9"/>
  <c r="L788" i="9"/>
  <c r="L787" i="9"/>
  <c r="L786" i="9"/>
  <c r="L785" i="9"/>
  <c r="L784" i="9"/>
  <c r="L783" i="9"/>
  <c r="L782" i="9"/>
  <c r="L781" i="9"/>
  <c r="L780" i="9"/>
  <c r="L779" i="9"/>
  <c r="L778" i="9"/>
  <c r="L777" i="9"/>
  <c r="L776" i="9"/>
  <c r="L775" i="9"/>
  <c r="L774" i="9"/>
  <c r="L773" i="9"/>
  <c r="L772" i="9"/>
  <c r="L771" i="9"/>
  <c r="L770" i="9"/>
  <c r="L769" i="9"/>
  <c r="L768" i="9"/>
  <c r="L767" i="9"/>
  <c r="L766" i="9"/>
  <c r="L765" i="9"/>
  <c r="L764" i="9"/>
  <c r="L763" i="9"/>
  <c r="L762" i="9"/>
  <c r="L761" i="9"/>
  <c r="L760" i="9"/>
  <c r="L759" i="9"/>
  <c r="L758" i="9"/>
  <c r="L757" i="9"/>
  <c r="L756" i="9"/>
  <c r="L755" i="9"/>
  <c r="L754" i="9"/>
  <c r="L753" i="9"/>
  <c r="L752" i="9"/>
  <c r="L751" i="9"/>
  <c r="L750" i="9"/>
  <c r="L749" i="9"/>
  <c r="L748" i="9"/>
  <c r="L747" i="9"/>
  <c r="L746" i="9"/>
  <c r="L745" i="9"/>
  <c r="L744" i="9"/>
  <c r="L743" i="9"/>
  <c r="L742" i="9"/>
  <c r="L741" i="9"/>
  <c r="L740" i="9"/>
  <c r="L739" i="9"/>
  <c r="L738" i="9"/>
  <c r="L737" i="9"/>
  <c r="L736" i="9"/>
  <c r="L735" i="9"/>
  <c r="L734" i="9"/>
  <c r="L733" i="9"/>
  <c r="L732" i="9"/>
  <c r="L731" i="9"/>
  <c r="L730" i="9"/>
  <c r="L729" i="9"/>
  <c r="L728" i="9"/>
  <c r="L727" i="9"/>
  <c r="L726" i="9"/>
  <c r="L725" i="9"/>
  <c r="L724" i="9"/>
  <c r="L723" i="9"/>
  <c r="L722" i="9"/>
  <c r="L721" i="9"/>
  <c r="L720" i="9"/>
  <c r="L719" i="9"/>
  <c r="L718" i="9"/>
  <c r="L717" i="9"/>
  <c r="L716" i="9"/>
  <c r="L715" i="9"/>
  <c r="L714" i="9"/>
  <c r="L713" i="9"/>
  <c r="L712" i="9"/>
  <c r="L711" i="9"/>
  <c r="L710" i="9"/>
  <c r="L709" i="9"/>
  <c r="L708" i="9"/>
  <c r="L707" i="9"/>
  <c r="L706" i="9"/>
  <c r="L705" i="9"/>
  <c r="L704" i="9"/>
  <c r="L703" i="9"/>
  <c r="L702" i="9"/>
  <c r="L701" i="9"/>
  <c r="L700" i="9"/>
  <c r="L699" i="9"/>
  <c r="L698" i="9"/>
  <c r="L697" i="9"/>
  <c r="L696" i="9"/>
  <c r="L695" i="9"/>
  <c r="L694" i="9"/>
  <c r="L693" i="9"/>
  <c r="L692" i="9"/>
  <c r="L691" i="9"/>
  <c r="L690" i="9"/>
  <c r="L689" i="9"/>
  <c r="L688" i="9"/>
  <c r="L687" i="9"/>
  <c r="L686" i="9"/>
  <c r="L685" i="9"/>
  <c r="L684" i="9"/>
  <c r="L683" i="9"/>
  <c r="L682" i="9"/>
  <c r="L681" i="9"/>
  <c r="L680" i="9"/>
  <c r="L679" i="9"/>
  <c r="L678" i="9"/>
  <c r="L677" i="9"/>
  <c r="L676" i="9"/>
  <c r="L675" i="9"/>
  <c r="L674" i="9"/>
  <c r="L673" i="9"/>
  <c r="L672" i="9"/>
  <c r="L671" i="9"/>
  <c r="L670" i="9"/>
  <c r="L669" i="9"/>
  <c r="L668" i="9"/>
  <c r="L667" i="9"/>
  <c r="L666" i="9"/>
  <c r="L665" i="9"/>
  <c r="L664" i="9"/>
  <c r="L663" i="9"/>
  <c r="L662" i="9"/>
  <c r="L661" i="9"/>
  <c r="L660" i="9"/>
  <c r="L659" i="9"/>
  <c r="L658" i="9"/>
  <c r="L657" i="9"/>
  <c r="L656" i="9"/>
  <c r="L655" i="9"/>
  <c r="L654" i="9"/>
  <c r="L653" i="9"/>
  <c r="L652" i="9"/>
  <c r="L651" i="9"/>
  <c r="L650" i="9"/>
  <c r="L649" i="9"/>
  <c r="L648" i="9"/>
  <c r="L647" i="9"/>
  <c r="L646" i="9"/>
  <c r="L645" i="9"/>
  <c r="L644" i="9"/>
  <c r="L643" i="9"/>
  <c r="L642" i="9"/>
  <c r="L641" i="9"/>
  <c r="L640" i="9"/>
  <c r="L639" i="9"/>
  <c r="L638" i="9"/>
  <c r="L637" i="9"/>
  <c r="L636" i="9"/>
  <c r="L635" i="9"/>
  <c r="L634" i="9"/>
  <c r="L633" i="9"/>
  <c r="L632" i="9"/>
  <c r="L631" i="9"/>
  <c r="L630" i="9"/>
  <c r="L629" i="9"/>
  <c r="L628" i="9"/>
  <c r="L627" i="9"/>
  <c r="L626" i="9"/>
  <c r="L625" i="9"/>
  <c r="L624" i="9"/>
  <c r="L623" i="9"/>
  <c r="L622" i="9"/>
  <c r="L621" i="9"/>
  <c r="L620" i="9"/>
  <c r="L619" i="9"/>
  <c r="L618" i="9"/>
  <c r="L617" i="9"/>
  <c r="L616" i="9"/>
  <c r="L615" i="9"/>
  <c r="L614" i="9"/>
  <c r="L613" i="9"/>
  <c r="L612" i="9"/>
  <c r="L611" i="9"/>
  <c r="L610" i="9"/>
  <c r="L609" i="9"/>
  <c r="L608" i="9"/>
  <c r="L607" i="9"/>
  <c r="L606" i="9"/>
  <c r="L605" i="9"/>
  <c r="L604" i="9"/>
  <c r="L603" i="9"/>
  <c r="L602" i="9"/>
  <c r="L601" i="9"/>
  <c r="L600" i="9"/>
  <c r="L599" i="9"/>
  <c r="L598" i="9"/>
  <c r="L597" i="9"/>
  <c r="L596" i="9"/>
  <c r="L595" i="9"/>
  <c r="L594" i="9"/>
  <c r="L593" i="9"/>
  <c r="L592" i="9"/>
  <c r="L591" i="9"/>
  <c r="L590" i="9"/>
  <c r="L589" i="9"/>
  <c r="L588" i="9"/>
  <c r="L587" i="9"/>
  <c r="L586" i="9"/>
  <c r="L585" i="9"/>
  <c r="L584" i="9"/>
  <c r="L583" i="9"/>
  <c r="L582" i="9"/>
  <c r="L581" i="9"/>
  <c r="L580" i="9"/>
  <c r="L579" i="9"/>
  <c r="L578" i="9"/>
  <c r="L577" i="9"/>
  <c r="L576" i="9"/>
  <c r="L575" i="9"/>
  <c r="L574" i="9"/>
  <c r="L573" i="9"/>
  <c r="L572" i="9"/>
  <c r="L571" i="9"/>
  <c r="L570" i="9"/>
  <c r="L569" i="9"/>
  <c r="L568" i="9"/>
  <c r="L567" i="9"/>
  <c r="L566" i="9"/>
  <c r="L565" i="9"/>
  <c r="L564" i="9"/>
  <c r="L563" i="9"/>
  <c r="L562" i="9"/>
  <c r="L561" i="9"/>
  <c r="L560" i="9"/>
  <c r="L559" i="9"/>
  <c r="L558" i="9"/>
  <c r="L557" i="9"/>
  <c r="L556" i="9"/>
  <c r="L555" i="9"/>
  <c r="L554" i="9"/>
  <c r="L553" i="9"/>
  <c r="L552" i="9"/>
  <c r="L551" i="9"/>
  <c r="L550" i="9"/>
  <c r="L549" i="9"/>
  <c r="L548" i="9"/>
  <c r="L547" i="9"/>
  <c r="L546" i="9"/>
  <c r="L545" i="9"/>
  <c r="L544" i="9"/>
  <c r="L543" i="9"/>
  <c r="L542" i="9"/>
  <c r="L541" i="9"/>
  <c r="L540" i="9"/>
  <c r="L539" i="9"/>
  <c r="L538" i="9"/>
  <c r="L537" i="9"/>
  <c r="L536" i="9"/>
  <c r="L535" i="9"/>
  <c r="L534" i="9"/>
  <c r="L533" i="9"/>
  <c r="L532" i="9"/>
  <c r="L531" i="9"/>
  <c r="L530" i="9"/>
  <c r="L529" i="9"/>
  <c r="L528" i="9"/>
  <c r="L527" i="9"/>
  <c r="L526" i="9"/>
  <c r="L525" i="9"/>
  <c r="L524" i="9"/>
  <c r="L523" i="9"/>
  <c r="L522" i="9"/>
  <c r="L521" i="9"/>
  <c r="L520" i="9"/>
  <c r="L519" i="9"/>
  <c r="L518" i="9"/>
  <c r="L517" i="9"/>
  <c r="L516" i="9"/>
  <c r="L515" i="9"/>
  <c r="L514" i="9"/>
  <c r="L513" i="9"/>
  <c r="L512" i="9"/>
  <c r="L511" i="9"/>
  <c r="L510" i="9"/>
  <c r="L509" i="9"/>
  <c r="L508" i="9"/>
  <c r="L507" i="9"/>
  <c r="L506" i="9"/>
  <c r="L505" i="9"/>
  <c r="L504" i="9"/>
  <c r="L503" i="9"/>
  <c r="L502" i="9"/>
  <c r="L501" i="9"/>
  <c r="L500" i="9"/>
  <c r="L499" i="9"/>
  <c r="L498" i="9"/>
  <c r="L497" i="9"/>
  <c r="L496" i="9"/>
  <c r="L495" i="9"/>
  <c r="L494" i="9"/>
  <c r="L493" i="9"/>
  <c r="L492" i="9"/>
  <c r="L491" i="9"/>
  <c r="L490" i="9"/>
  <c r="L489" i="9"/>
  <c r="L488" i="9"/>
  <c r="L487" i="9"/>
  <c r="L486" i="9"/>
  <c r="L485" i="9"/>
  <c r="L484" i="9"/>
  <c r="L483" i="9"/>
  <c r="L482" i="9"/>
  <c r="L481" i="9"/>
  <c r="L480" i="9"/>
  <c r="L479" i="9"/>
  <c r="L478" i="9"/>
  <c r="L477" i="9"/>
  <c r="L476" i="9"/>
  <c r="L475" i="9"/>
  <c r="L474" i="9"/>
  <c r="L473" i="9"/>
  <c r="L472" i="9"/>
  <c r="L471" i="9"/>
  <c r="L470" i="9"/>
  <c r="L469" i="9"/>
  <c r="L468" i="9"/>
  <c r="L467" i="9"/>
  <c r="L466" i="9"/>
  <c r="L465" i="9"/>
  <c r="L464" i="9"/>
  <c r="L463" i="9"/>
  <c r="L462" i="9"/>
  <c r="L461" i="9"/>
  <c r="L460" i="9"/>
  <c r="L459" i="9"/>
  <c r="L458" i="9"/>
  <c r="L457" i="9"/>
  <c r="L456" i="9"/>
  <c r="L455" i="9"/>
  <c r="L454" i="9"/>
  <c r="L453" i="9"/>
  <c r="L452" i="9"/>
  <c r="L451" i="9"/>
  <c r="L450" i="9"/>
  <c r="L449" i="9"/>
  <c r="L448" i="9"/>
  <c r="L447" i="9"/>
  <c r="L446" i="9"/>
  <c r="L445" i="9"/>
  <c r="L444" i="9"/>
  <c r="L443" i="9"/>
  <c r="L442" i="9"/>
  <c r="L441" i="9"/>
  <c r="L440" i="9"/>
  <c r="L439" i="9"/>
  <c r="L438" i="9"/>
  <c r="L437" i="9"/>
  <c r="L436" i="9"/>
  <c r="L435" i="9"/>
  <c r="L434" i="9"/>
  <c r="L433" i="9"/>
  <c r="L432" i="9"/>
  <c r="L431" i="9"/>
  <c r="L430" i="9"/>
  <c r="L429" i="9"/>
  <c r="L428" i="9"/>
  <c r="L427" i="9"/>
  <c r="L426" i="9"/>
  <c r="L425" i="9"/>
  <c r="L424" i="9"/>
  <c r="L423" i="9"/>
  <c r="L422" i="9"/>
  <c r="L421" i="9"/>
  <c r="L420" i="9"/>
  <c r="L419" i="9"/>
  <c r="L418" i="9"/>
  <c r="L417" i="9"/>
  <c r="L416" i="9"/>
  <c r="L415" i="9"/>
  <c r="L414" i="9"/>
  <c r="L413" i="9"/>
  <c r="L412" i="9"/>
  <c r="L411" i="9"/>
  <c r="L410" i="9"/>
  <c r="L409" i="9"/>
  <c r="L408" i="9"/>
  <c r="L407" i="9"/>
  <c r="L406" i="9"/>
  <c r="L405" i="9"/>
  <c r="L404" i="9"/>
  <c r="L403" i="9"/>
  <c r="L402" i="9"/>
  <c r="L401" i="9"/>
  <c r="L400" i="9"/>
  <c r="L399" i="9"/>
  <c r="L398" i="9"/>
  <c r="L397" i="9"/>
  <c r="L396" i="9"/>
  <c r="L395" i="9"/>
  <c r="L394" i="9"/>
  <c r="L393" i="9"/>
  <c r="L392" i="9"/>
  <c r="L391" i="9"/>
  <c r="L390" i="9"/>
  <c r="L389" i="9"/>
  <c r="L388" i="9"/>
  <c r="L387" i="9"/>
  <c r="L386" i="9"/>
  <c r="L385" i="9"/>
  <c r="L384" i="9"/>
  <c r="L383" i="9"/>
  <c r="L382" i="9"/>
  <c r="L381" i="9"/>
  <c r="L380" i="9"/>
  <c r="L379" i="9"/>
  <c r="L378" i="9"/>
  <c r="L377" i="9"/>
  <c r="L376" i="9"/>
  <c r="L375" i="9"/>
  <c r="L374" i="9"/>
  <c r="L373" i="9"/>
  <c r="L372" i="9"/>
  <c r="L371" i="9"/>
  <c r="L370" i="9"/>
  <c r="L369" i="9"/>
  <c r="L368" i="9"/>
  <c r="L367" i="9"/>
  <c r="L366" i="9"/>
  <c r="L365" i="9"/>
  <c r="L364" i="9"/>
  <c r="L363" i="9"/>
  <c r="L362" i="9"/>
  <c r="L361" i="9"/>
  <c r="L360" i="9"/>
  <c r="L359" i="9"/>
  <c r="L358" i="9"/>
  <c r="L357" i="9"/>
  <c r="L356" i="9"/>
  <c r="L355" i="9"/>
  <c r="L354" i="9"/>
  <c r="L353" i="9"/>
  <c r="L352" i="9"/>
  <c r="L351" i="9"/>
  <c r="L350" i="9"/>
  <c r="L349" i="9"/>
  <c r="L348" i="9"/>
  <c r="L347" i="9"/>
  <c r="L346" i="9"/>
  <c r="L345" i="9"/>
  <c r="L344" i="9"/>
  <c r="L343" i="9"/>
  <c r="L342" i="9"/>
  <c r="L341" i="9"/>
  <c r="L340" i="9"/>
  <c r="L339" i="9"/>
  <c r="L338" i="9"/>
  <c r="L337" i="9"/>
  <c r="L336" i="9"/>
  <c r="L335" i="9"/>
  <c r="L334" i="9"/>
  <c r="L333" i="9"/>
  <c r="L332" i="9"/>
  <c r="L331" i="9"/>
  <c r="L330" i="9"/>
  <c r="L329" i="9"/>
  <c r="L328" i="9"/>
  <c r="L327" i="9"/>
  <c r="L326" i="9"/>
  <c r="L325" i="9"/>
  <c r="L324" i="9"/>
  <c r="L323" i="9"/>
  <c r="L322" i="9"/>
  <c r="L321" i="9"/>
  <c r="L320" i="9"/>
  <c r="L319" i="9"/>
  <c r="L318" i="9"/>
  <c r="L317" i="9"/>
  <c r="L316" i="9"/>
  <c r="L315" i="9"/>
  <c r="L314" i="9"/>
  <c r="L313" i="9"/>
  <c r="L312" i="9"/>
  <c r="L311" i="9"/>
  <c r="L310" i="9"/>
  <c r="L309" i="9"/>
  <c r="L308" i="9"/>
  <c r="L307" i="9"/>
  <c r="L306" i="9"/>
  <c r="L305" i="9"/>
  <c r="L304" i="9"/>
  <c r="L303" i="9"/>
  <c r="L302" i="9"/>
  <c r="L301" i="9"/>
  <c r="L300" i="9"/>
  <c r="L299" i="9"/>
  <c r="L298" i="9"/>
  <c r="L297" i="9"/>
  <c r="L296" i="9"/>
  <c r="L295" i="9"/>
  <c r="L294" i="9"/>
  <c r="L293" i="9"/>
  <c r="L292" i="9"/>
  <c r="L291" i="9"/>
  <c r="L290" i="9"/>
  <c r="L289" i="9"/>
  <c r="L288" i="9"/>
  <c r="L287" i="9"/>
  <c r="L286" i="9"/>
  <c r="L285" i="9"/>
  <c r="L284" i="9"/>
  <c r="L283" i="9"/>
  <c r="L282" i="9"/>
  <c r="L281" i="9"/>
  <c r="L280" i="9"/>
  <c r="L279" i="9"/>
  <c r="L278" i="9"/>
  <c r="L277" i="9"/>
  <c r="L276" i="9"/>
  <c r="L275" i="9"/>
  <c r="L274" i="9"/>
  <c r="L273" i="9"/>
  <c r="L272" i="9"/>
  <c r="L271" i="9"/>
  <c r="L270" i="9"/>
  <c r="L269" i="9"/>
  <c r="L268" i="9"/>
  <c r="L267" i="9"/>
  <c r="L266" i="9"/>
  <c r="L265" i="9"/>
  <c r="L264" i="9"/>
  <c r="L263" i="9"/>
  <c r="L262" i="9"/>
  <c r="L261" i="9"/>
  <c r="L260" i="9"/>
  <c r="L259" i="9"/>
  <c r="L258" i="9"/>
  <c r="L257" i="9"/>
  <c r="L256" i="9"/>
  <c r="L255" i="9"/>
  <c r="L254" i="9"/>
  <c r="L253" i="9"/>
  <c r="L252" i="9"/>
  <c r="L251" i="9"/>
  <c r="L250" i="9"/>
  <c r="L249" i="9"/>
  <c r="L248" i="9"/>
  <c r="L247" i="9"/>
  <c r="L246" i="9"/>
  <c r="L245" i="9"/>
  <c r="L244" i="9"/>
  <c r="L243" i="9"/>
  <c r="L242" i="9"/>
  <c r="L241" i="9"/>
  <c r="L240" i="9"/>
  <c r="L239" i="9"/>
  <c r="L238" i="9"/>
  <c r="L237" i="9"/>
  <c r="L236" i="9"/>
  <c r="L235" i="9"/>
  <c r="L234" i="9"/>
  <c r="L233" i="9"/>
  <c r="L232" i="9"/>
  <c r="L231" i="9"/>
  <c r="L230" i="9"/>
  <c r="L229" i="9"/>
  <c r="L228" i="9"/>
  <c r="L227" i="9"/>
  <c r="L226" i="9"/>
  <c r="L225" i="9"/>
  <c r="L224" i="9"/>
  <c r="L223" i="9"/>
  <c r="L222" i="9"/>
  <c r="L221" i="9"/>
  <c r="L220" i="9"/>
  <c r="L219" i="9"/>
  <c r="L218" i="9"/>
  <c r="L217" i="9"/>
  <c r="L216" i="9"/>
  <c r="L215" i="9"/>
  <c r="L214" i="9"/>
  <c r="L213" i="9"/>
  <c r="L212" i="9"/>
  <c r="L211" i="9"/>
  <c r="L210" i="9"/>
  <c r="L209" i="9"/>
  <c r="L208" i="9"/>
  <c r="L207" i="9"/>
  <c r="L206" i="9"/>
  <c r="L205" i="9"/>
  <c r="L204" i="9"/>
  <c r="L203" i="9"/>
  <c r="L202" i="9"/>
  <c r="L201" i="9"/>
  <c r="L200" i="9"/>
  <c r="L199" i="9"/>
  <c r="L198" i="9"/>
  <c r="L197" i="9"/>
  <c r="L196" i="9"/>
  <c r="L195" i="9"/>
  <c r="L194" i="9"/>
  <c r="L193" i="9"/>
  <c r="L192" i="9"/>
  <c r="L191" i="9"/>
  <c r="L190" i="9"/>
  <c r="L189" i="9"/>
  <c r="L188" i="9"/>
  <c r="L187" i="9"/>
  <c r="L186" i="9"/>
  <c r="L185" i="9"/>
  <c r="L184" i="9"/>
  <c r="L183" i="9"/>
  <c r="L182" i="9"/>
  <c r="L181" i="9"/>
  <c r="L180" i="9"/>
  <c r="L179" i="9"/>
  <c r="L178" i="9"/>
  <c r="L177" i="9"/>
  <c r="L176" i="9"/>
  <c r="L175" i="9"/>
  <c r="L174" i="9"/>
  <c r="L173" i="9"/>
  <c r="L172" i="9"/>
  <c r="L171" i="9"/>
  <c r="L170" i="9"/>
  <c r="L169" i="9"/>
  <c r="L168" i="9"/>
  <c r="L167" i="9"/>
  <c r="L166" i="9"/>
  <c r="L165" i="9"/>
  <c r="L164" i="9"/>
  <c r="L163" i="9"/>
  <c r="L162" i="9"/>
  <c r="L161" i="9"/>
  <c r="L160" i="9"/>
  <c r="L159" i="9"/>
  <c r="L158" i="9"/>
  <c r="L157" i="9"/>
  <c r="L156" i="9"/>
  <c r="L155" i="9"/>
  <c r="L154" i="9"/>
  <c r="L153" i="9"/>
  <c r="L152" i="9"/>
  <c r="L151" i="9"/>
  <c r="L150" i="9"/>
  <c r="L149" i="9"/>
  <c r="L148" i="9"/>
  <c r="L147" i="9"/>
  <c r="L146" i="9"/>
  <c r="L145" i="9"/>
  <c r="L144" i="9"/>
  <c r="L143" i="9"/>
  <c r="L142" i="9"/>
  <c r="L141" i="9"/>
  <c r="L140" i="9"/>
  <c r="L139" i="9"/>
  <c r="L138" i="9"/>
  <c r="L137" i="9"/>
  <c r="L136" i="9"/>
  <c r="L135" i="9"/>
  <c r="L134" i="9"/>
  <c r="L133" i="9"/>
  <c r="L132" i="9"/>
  <c r="L131" i="9"/>
  <c r="L130" i="9"/>
  <c r="L129" i="9"/>
  <c r="L128" i="9"/>
  <c r="L127" i="9"/>
  <c r="L126" i="9"/>
  <c r="L125" i="9"/>
  <c r="L124" i="9"/>
  <c r="L123" i="9"/>
  <c r="L122" i="9"/>
  <c r="L121" i="9"/>
  <c r="L120" i="9"/>
  <c r="L119" i="9"/>
  <c r="L118" i="9"/>
  <c r="L117" i="9"/>
  <c r="L116" i="9"/>
  <c r="L115" i="9"/>
  <c r="L114" i="9"/>
  <c r="L113" i="9"/>
  <c r="L112" i="9"/>
  <c r="L111" i="9"/>
  <c r="L110" i="9"/>
  <c r="L109" i="9"/>
  <c r="L108" i="9"/>
  <c r="L107" i="9"/>
  <c r="L106" i="9"/>
  <c r="L105" i="9"/>
  <c r="L104" i="9"/>
  <c r="L103" i="9"/>
  <c r="L102" i="9"/>
  <c r="L101" i="9"/>
  <c r="L100" i="9"/>
  <c r="L99" i="9"/>
  <c r="L98" i="9"/>
  <c r="L97" i="9"/>
  <c r="L96" i="9"/>
  <c r="L95" i="9"/>
  <c r="L94" i="9"/>
  <c r="L93" i="9"/>
  <c r="L92" i="9"/>
  <c r="L91" i="9"/>
  <c r="L90" i="9"/>
  <c r="L89" i="9"/>
  <c r="L88" i="9"/>
  <c r="L87" i="9"/>
  <c r="L86" i="9"/>
  <c r="L85" i="9"/>
  <c r="L84" i="9"/>
  <c r="L83" i="9"/>
  <c r="L82" i="9"/>
  <c r="L81" i="9"/>
  <c r="L80" i="9"/>
  <c r="L79" i="9"/>
  <c r="L78" i="9"/>
  <c r="L77" i="9"/>
  <c r="L76" i="9"/>
  <c r="L75" i="9"/>
  <c r="L74" i="9"/>
  <c r="L73" i="9"/>
  <c r="L72" i="9"/>
  <c r="L71" i="9"/>
  <c r="L70" i="9"/>
  <c r="L69" i="9"/>
  <c r="L68" i="9"/>
  <c r="L67" i="9"/>
  <c r="L66" i="9"/>
  <c r="L65" i="9"/>
  <c r="L64" i="9"/>
  <c r="L63" i="9"/>
  <c r="L62" i="9"/>
  <c r="L61" i="9"/>
  <c r="L60" i="9"/>
  <c r="L59" i="9"/>
  <c r="L58" i="9"/>
  <c r="L57"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L8" i="9"/>
  <c r="L6" i="9"/>
  <c r="L4" i="9"/>
  <c r="L3" i="9"/>
  <c r="L2" i="9"/>
  <c r="K3" i="10"/>
  <c r="C10" i="10"/>
  <c r="C8" i="10"/>
  <c r="B3" i="10"/>
  <c r="F15" i="10"/>
  <c r="K8" i="10"/>
  <c r="E3" i="10"/>
  <c r="H3" i="10"/>
  <c r="C9" i="10"/>
  <c r="F9" i="10"/>
  <c r="N3" i="10"/>
  <c r="N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A55F4F-B3CD-44AF-AC40-2A208DEE9C7A}" keepAlive="1" name="Query - pg" description="Connection to the 'pg' query in the workbook." type="5" refreshedVersion="8" background="1" saveData="1">
    <dbPr connection="Provider=Microsoft.Mashup.OleDb.1;Data Source=$Workbook$;Location=pg;Extended Properties=&quot;&quot;" command="SELECT * FROM [pg]"/>
  </connection>
  <connection id="2" xr16:uid="{86DF3D0A-C84E-4DEA-9D37-08293FAB175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8BA06E6F-F165-43E0-B132-224BB785E291}" name="WorksheetConnection_Palmoria Group emp-data - Copy.xlsx!pg_1" type="102" refreshedVersion="8" minRefreshableVersion="5">
    <extLst>
      <ext xmlns:x15="http://schemas.microsoft.com/office/spreadsheetml/2010/11/main" uri="{DE250136-89BD-433C-8126-D09CA5730AF9}">
        <x15:connection id="pg_1">
          <x15:rangePr sourceName="_xlcn.WorksheetConnection_PalmoriaGroupempdataCopy.xlsxpg_11"/>
        </x15:connection>
      </ext>
    </extLst>
  </connection>
</connections>
</file>

<file path=xl/sharedStrings.xml><?xml version="1.0" encoding="utf-8"?>
<sst xmlns="http://schemas.openxmlformats.org/spreadsheetml/2006/main" count="10438" uniqueCount="1019">
  <si>
    <t>Name</t>
  </si>
  <si>
    <t>Gender</t>
  </si>
  <si>
    <t>Department</t>
  </si>
  <si>
    <t>Salary</t>
  </si>
  <si>
    <t>Location</t>
  </si>
  <si>
    <t>Rating</t>
  </si>
  <si>
    <t>Ches Bonnell</t>
  </si>
  <si>
    <t>Male</t>
  </si>
  <si>
    <t>Sales</t>
  </si>
  <si>
    <t>Lagos</t>
  </si>
  <si>
    <t>Very Good</t>
  </si>
  <si>
    <t>Garwin Peasegood</t>
  </si>
  <si>
    <t>Female</t>
  </si>
  <si>
    <t>Engineering</t>
  </si>
  <si>
    <t>Good</t>
  </si>
  <si>
    <t>Sidoney Yitzhok</t>
  </si>
  <si>
    <t>NULL</t>
  </si>
  <si>
    <t>Abuja</t>
  </si>
  <si>
    <t>Not Rated</t>
  </si>
  <si>
    <t>Saunders Blumson</t>
  </si>
  <si>
    <t>Legal</t>
  </si>
  <si>
    <t>Kaduna</t>
  </si>
  <si>
    <t>Gardy Grigorey</t>
  </si>
  <si>
    <t>Support</t>
  </si>
  <si>
    <t>Poor</t>
  </si>
  <si>
    <t>Marlie Charsley</t>
  </si>
  <si>
    <t>Adella Hartshorne</t>
  </si>
  <si>
    <t>Human Resources</t>
  </si>
  <si>
    <t>Average</t>
  </si>
  <si>
    <t>Rasla Fisby</t>
  </si>
  <si>
    <t>Rayna Gamlin</t>
  </si>
  <si>
    <t>Services</t>
  </si>
  <si>
    <t>Willi Vasey</t>
  </si>
  <si>
    <t>Selby Hacker</t>
  </si>
  <si>
    <t>Business Development</t>
  </si>
  <si>
    <t>Stefa Eggleston</t>
  </si>
  <si>
    <t>Phylys Benitez</t>
  </si>
  <si>
    <t>Product Management</t>
  </si>
  <si>
    <t>Ronnie Sinyard</t>
  </si>
  <si>
    <t>Axel Grigaut</t>
  </si>
  <si>
    <t>Timmi Durran</t>
  </si>
  <si>
    <t>Minna Showler</t>
  </si>
  <si>
    <t>Training</t>
  </si>
  <si>
    <t>Dyanne Strafen</t>
  </si>
  <si>
    <t>Dorolice Farry</t>
  </si>
  <si>
    <t>Elliot Tuplin</t>
  </si>
  <si>
    <t>Lion Adcock</t>
  </si>
  <si>
    <t>Vic Radolf</t>
  </si>
  <si>
    <t>Tiffani Mecozzi</t>
  </si>
  <si>
    <t>Jeane Bermingham</t>
  </si>
  <si>
    <t>Research and Development</t>
  </si>
  <si>
    <t>Very Poor</t>
  </si>
  <si>
    <t>Gavan Puttan</t>
  </si>
  <si>
    <t>Accounting</t>
  </si>
  <si>
    <t>Danielle Johananoff</t>
  </si>
  <si>
    <t>Rafaelita Blaksland</t>
  </si>
  <si>
    <t>Brit Hamnett</t>
  </si>
  <si>
    <t>Mable Phythian</t>
  </si>
  <si>
    <t>Joella Maevela</t>
  </si>
  <si>
    <t>Mollie Hanway</t>
  </si>
  <si>
    <t>Obidiah Westrope</t>
  </si>
  <si>
    <t>Murry Dryburgh</t>
  </si>
  <si>
    <t>Abbie Tann</t>
  </si>
  <si>
    <t>Aluin Churly</t>
  </si>
  <si>
    <t>Bennett Gimenez</t>
  </si>
  <si>
    <t>Isa Mogie</t>
  </si>
  <si>
    <t>Yves Clunie</t>
  </si>
  <si>
    <t>Marketing</t>
  </si>
  <si>
    <t>Iain Wiburn</t>
  </si>
  <si>
    <t>Nonah Bissell</t>
  </si>
  <si>
    <t>Mendel Gentsch</t>
  </si>
  <si>
    <t>Alfred Peplay</t>
  </si>
  <si>
    <t>Adelina Cheeseman</t>
  </si>
  <si>
    <t>Minetta Parsons</t>
  </si>
  <si>
    <t>Hobard Benninger</t>
  </si>
  <si>
    <t>Fancy Bonin</t>
  </si>
  <si>
    <t>Laura Gomar</t>
  </si>
  <si>
    <t>Beatrix Schoales</t>
  </si>
  <si>
    <t>Clemmie Hebblewaite</t>
  </si>
  <si>
    <t>Issie Crippes</t>
  </si>
  <si>
    <t>Vasily MacVanamy</t>
  </si>
  <si>
    <t>Aile Strathearn</t>
  </si>
  <si>
    <t>Shellysheldon Mahady</t>
  </si>
  <si>
    <t>Laney Renne</t>
  </si>
  <si>
    <t>Trace Sidsaff</t>
  </si>
  <si>
    <t>Kelly Corkitt</t>
  </si>
  <si>
    <t>Karlen McCaffrey</t>
  </si>
  <si>
    <t>Jordain Sparkwill</t>
  </si>
  <si>
    <t>Billie Croucher</t>
  </si>
  <si>
    <t>Izzy Brisco</t>
  </si>
  <si>
    <t>Ignacius Losel</t>
  </si>
  <si>
    <t>Peggi Bullas</t>
  </si>
  <si>
    <t>Bab Bridger</t>
  </si>
  <si>
    <t>Dyna Doucette</t>
  </si>
  <si>
    <t>Marcellina Kitt</t>
  </si>
  <si>
    <t>Shela Goade</t>
  </si>
  <si>
    <t>Gwenneth Fealey</t>
  </si>
  <si>
    <t>Kerrie Cockshutt</t>
  </si>
  <si>
    <t>Christopher Kezourec</t>
  </si>
  <si>
    <t>Larry Pioch</t>
  </si>
  <si>
    <t>Bethanne Shoppee</t>
  </si>
  <si>
    <t>Reidar Skechley</t>
  </si>
  <si>
    <t>Bari Toffano</t>
  </si>
  <si>
    <t>Robinia Scholling</t>
  </si>
  <si>
    <t>Grover Cooksey</t>
  </si>
  <si>
    <t>Layton Crayden</t>
  </si>
  <si>
    <t>Marlowe Constantine</t>
  </si>
  <si>
    <t>Rhianna McLeoid</t>
  </si>
  <si>
    <t>Alida Welman</t>
  </si>
  <si>
    <t>Jacobo Lasham</t>
  </si>
  <si>
    <t>Rhody Odhams</t>
  </si>
  <si>
    <t>Zach Polon</t>
  </si>
  <si>
    <t>Taddeo Jovis</t>
  </si>
  <si>
    <t>Katerine Lohden</t>
  </si>
  <si>
    <t>Jakob Philippe</t>
  </si>
  <si>
    <t>Monroe Hendrickx</t>
  </si>
  <si>
    <t>Fred Dudeney</t>
  </si>
  <si>
    <t>Brose MacCorkell</t>
  </si>
  <si>
    <t>Madelene Upcott</t>
  </si>
  <si>
    <t>Cara Havers</t>
  </si>
  <si>
    <t>Gisella Mewe</t>
  </si>
  <si>
    <t>Daryn Kniveton</t>
  </si>
  <si>
    <t>Stormy Church</t>
  </si>
  <si>
    <t>Cull Nannetti</t>
  </si>
  <si>
    <t>Shirlene Argo</t>
  </si>
  <si>
    <t>Konstanze Wyleman</t>
  </si>
  <si>
    <t>Vernor Atyea</t>
  </si>
  <si>
    <t>Pedro St. Hill</t>
  </si>
  <si>
    <t>Tris Hynard</t>
  </si>
  <si>
    <t>Calvin O'Carroll</t>
  </si>
  <si>
    <t>Jessica Burditt</t>
  </si>
  <si>
    <t>Aurelea Devitt</t>
  </si>
  <si>
    <t>Meryl Waggatt</t>
  </si>
  <si>
    <t>Corri Ellcome</t>
  </si>
  <si>
    <t>Evyn Fyrth</t>
  </si>
  <si>
    <t>Car Laden</t>
  </si>
  <si>
    <t>Sarene Creeboe</t>
  </si>
  <si>
    <t>Steven Labat</t>
  </si>
  <si>
    <t>Lindy Guillet</t>
  </si>
  <si>
    <t>Loren Rettie</t>
  </si>
  <si>
    <t>Daron Biaggioli</t>
  </si>
  <si>
    <t>Georg Dinnage</t>
  </si>
  <si>
    <t>Ewart Hovel</t>
  </si>
  <si>
    <t>Archaimbaud Pinchin</t>
  </si>
  <si>
    <t>Mile Swindley</t>
  </si>
  <si>
    <t>Garwood Penhale</t>
  </si>
  <si>
    <t>Valentia Etteridge</t>
  </si>
  <si>
    <t>Courtney Given</t>
  </si>
  <si>
    <t>Claudetta Petherick</t>
  </si>
  <si>
    <t>Eberto William</t>
  </si>
  <si>
    <t>Bernie Gorges</t>
  </si>
  <si>
    <t>Myrle Prandoni</t>
  </si>
  <si>
    <t>Josepha Keningham</t>
  </si>
  <si>
    <t>Garrick Hadwick</t>
  </si>
  <si>
    <t>Nessy Baskwell</t>
  </si>
  <si>
    <t>Rosco Cogley</t>
  </si>
  <si>
    <t>Tulley Chiddy</t>
  </si>
  <si>
    <t>Camille Baldinotti</t>
  </si>
  <si>
    <t>Dave Lacoste</t>
  </si>
  <si>
    <t>Crawford Scad</t>
  </si>
  <si>
    <t>Judie Di Bernardo</t>
  </si>
  <si>
    <t>Kakalina Stanaway</t>
  </si>
  <si>
    <t>Max Shower</t>
  </si>
  <si>
    <t>Juditha Hatherleigh</t>
  </si>
  <si>
    <t>Lanny Beaney</t>
  </si>
  <si>
    <t>Jim Perrygo</t>
  </si>
  <si>
    <t>Shannen Crittal</t>
  </si>
  <si>
    <t>Katya Hundy</t>
  </si>
  <si>
    <t>Cordelia Djuricic</t>
  </si>
  <si>
    <t>Emory Whitten</t>
  </si>
  <si>
    <t>Philis Rowlstone</t>
  </si>
  <si>
    <t>Fedora Graffin</t>
  </si>
  <si>
    <t>Marjie Bamford</t>
  </si>
  <si>
    <t>Doe Clubley</t>
  </si>
  <si>
    <t>Barney Bonafant</t>
  </si>
  <si>
    <t>Nessi Delves</t>
  </si>
  <si>
    <t>Addi Studdeard</t>
  </si>
  <si>
    <t>Benoite Ackermann</t>
  </si>
  <si>
    <t>Sharity Brands</t>
  </si>
  <si>
    <t>Cassondra Giottini</t>
  </si>
  <si>
    <t>Beryl Burnsyde</t>
  </si>
  <si>
    <t>Ollie Schirak</t>
  </si>
  <si>
    <t>Amaleta Baltzar</t>
  </si>
  <si>
    <t>Wyn Treadger</t>
  </si>
  <si>
    <t>Orton Livick</t>
  </si>
  <si>
    <t>Haven Belward</t>
  </si>
  <si>
    <t>Yasmeen Klimkiewich</t>
  </si>
  <si>
    <t>Kristofor Powner</t>
  </si>
  <si>
    <t>Phillipp Nekrews</t>
  </si>
  <si>
    <t>Delora Arendt</t>
  </si>
  <si>
    <t>Archibaldo Denny</t>
  </si>
  <si>
    <t>Jeane Blaszczak</t>
  </si>
  <si>
    <t>Codi Beck</t>
  </si>
  <si>
    <t>Faunie Sinton</t>
  </si>
  <si>
    <t>Nicol Giacomi</t>
  </si>
  <si>
    <t>Vassili Flay</t>
  </si>
  <si>
    <t>Halimeda Kuscha</t>
  </si>
  <si>
    <t>Charmaine Howie</t>
  </si>
  <si>
    <t>Norrie Grahl</t>
  </si>
  <si>
    <t>Ulick Maingot</t>
  </si>
  <si>
    <t>Millie Fiveash</t>
  </si>
  <si>
    <t>Kayley Southwell</t>
  </si>
  <si>
    <t>Reena McKernan</t>
  </si>
  <si>
    <t>Seward Kubera</t>
  </si>
  <si>
    <t>Rois Garrigan</t>
  </si>
  <si>
    <t>Euell Willoughley</t>
  </si>
  <si>
    <t>Lindi Morfey</t>
  </si>
  <si>
    <t>Gradey Litton</t>
  </si>
  <si>
    <t>Iris Wagg</t>
  </si>
  <si>
    <t>Angeline Christophersen</t>
  </si>
  <si>
    <t>Farrel Vanyatin</t>
  </si>
  <si>
    <t>Kienan Epinay</t>
  </si>
  <si>
    <t>Aloisia Minto</t>
  </si>
  <si>
    <t>Melisa Knott</t>
  </si>
  <si>
    <t>Koral Gerriet</t>
  </si>
  <si>
    <t>Constantino Espley</t>
  </si>
  <si>
    <t>Desi Peniman</t>
  </si>
  <si>
    <t>Torrance Collier</t>
  </si>
  <si>
    <t>Ede Mignot</t>
  </si>
  <si>
    <t>Marcia Muldrew</t>
  </si>
  <si>
    <t>Quintina Kilgannon</t>
  </si>
  <si>
    <t>Peria Revey</t>
  </si>
  <si>
    <t>Carry Loblie</t>
  </si>
  <si>
    <t>Isadora Maunsell</t>
  </si>
  <si>
    <t>Tamara Couvet</t>
  </si>
  <si>
    <t>Von Boeter</t>
  </si>
  <si>
    <t>Forester Feakins</t>
  </si>
  <si>
    <t>Gardy Eckersall</t>
  </si>
  <si>
    <t>Gamaliel Ewins</t>
  </si>
  <si>
    <t>Win Arthurs</t>
  </si>
  <si>
    <t>Richy Gray</t>
  </si>
  <si>
    <t>Patricia Dwelly</t>
  </si>
  <si>
    <t>Erv Balmann</t>
  </si>
  <si>
    <t>Demetria Le Estut</t>
  </si>
  <si>
    <t>Deedee Ciotto</t>
  </si>
  <si>
    <t>Evanne Sheryn</t>
  </si>
  <si>
    <t>Collette Blackaller</t>
  </si>
  <si>
    <t>Mariann Mowat</t>
  </si>
  <si>
    <t>Tabbatha Pickston</t>
  </si>
  <si>
    <t>Vlad Strangeway</t>
  </si>
  <si>
    <t>Duky Wallace</t>
  </si>
  <si>
    <t>Townie Dongall</t>
  </si>
  <si>
    <t>Shana Bewly</t>
  </si>
  <si>
    <t>Mick Tanguy</t>
  </si>
  <si>
    <t>Tadio Audritt</t>
  </si>
  <si>
    <t>Torey Rosell</t>
  </si>
  <si>
    <t>Chrisy Kyme</t>
  </si>
  <si>
    <t>Morten Dumphy</t>
  </si>
  <si>
    <t>Issy McLevie</t>
  </si>
  <si>
    <t>Michaeline Capehorn</t>
  </si>
  <si>
    <t>Corny Linturn</t>
  </si>
  <si>
    <t>Berny Bastide</t>
  </si>
  <si>
    <t>Aindrea Lenormand</t>
  </si>
  <si>
    <t>Nels McClounan</t>
  </si>
  <si>
    <t>Shanon Deverell</t>
  </si>
  <si>
    <t>Vaughn Carvill</t>
  </si>
  <si>
    <t>Kora Allebone</t>
  </si>
  <si>
    <t>Millard Brakewell</t>
  </si>
  <si>
    <t>Lizzie Mullally</t>
  </si>
  <si>
    <t>Florie Tortoise</t>
  </si>
  <si>
    <t>Caro Chappel</t>
  </si>
  <si>
    <t>Letisha Carrett</t>
  </si>
  <si>
    <t>Melva Jickells</t>
  </si>
  <si>
    <t>Sadie Ratt</t>
  </si>
  <si>
    <t>Riccardo Hagan</t>
  </si>
  <si>
    <t>Chauncey Schild</t>
  </si>
  <si>
    <t>Amery Ofer</t>
  </si>
  <si>
    <t>Aube Chadderton</t>
  </si>
  <si>
    <t>Michaella Perri</t>
  </si>
  <si>
    <t>Mord Cromblehome</t>
  </si>
  <si>
    <t>Major O'Cahsedy</t>
  </si>
  <si>
    <t>Joana Bartocci</t>
  </si>
  <si>
    <t>Sly Cowley</t>
  </si>
  <si>
    <t>Augusta Cheetham</t>
  </si>
  <si>
    <t>Diarmid Alman</t>
  </si>
  <si>
    <t>Gearard Wixon</t>
  </si>
  <si>
    <t>Kaye Crocroft</t>
  </si>
  <si>
    <t>Egor Minto</t>
  </si>
  <si>
    <t>Bren Absolon</t>
  </si>
  <si>
    <t>Alexine Portail</t>
  </si>
  <si>
    <t>Duffie Ibel</t>
  </si>
  <si>
    <t>Gilles Jaquet</t>
  </si>
  <si>
    <t>Payton Pickervance</t>
  </si>
  <si>
    <t>Barny Fairweather</t>
  </si>
  <si>
    <t>Margot Royds</t>
  </si>
  <si>
    <t>Frederik Dartan</t>
  </si>
  <si>
    <t>Aubert Wedmore.</t>
  </si>
  <si>
    <t>Krystal Lambswood</t>
  </si>
  <si>
    <t>Nanice Boatwright</t>
  </si>
  <si>
    <t>Northrup Aires</t>
  </si>
  <si>
    <t>Janina Wolverson</t>
  </si>
  <si>
    <t>Floria Olivia</t>
  </si>
  <si>
    <t>Andrea Becker</t>
  </si>
  <si>
    <t>Louise Lamming</t>
  </si>
  <si>
    <t>Renaldo Thomassin</t>
  </si>
  <si>
    <t>Carmel Pancoust</t>
  </si>
  <si>
    <t>Tatum Hush</t>
  </si>
  <si>
    <t>Aldrich Glenny</t>
  </si>
  <si>
    <t>Griz Thorington</t>
  </si>
  <si>
    <t>Greta Bagehot</t>
  </si>
  <si>
    <t>Eddy Stolze</t>
  </si>
  <si>
    <t>L;urette Bontein</t>
  </si>
  <si>
    <t>Cindee Saice</t>
  </si>
  <si>
    <t>Erin Androsik</t>
  </si>
  <si>
    <t>Genovera Ghost</t>
  </si>
  <si>
    <t>Felicdad Heibel</t>
  </si>
  <si>
    <t>Jobey Boneham</t>
  </si>
  <si>
    <t>Radcliffe Fairpool</t>
  </si>
  <si>
    <t>Gigi Bohling</t>
  </si>
  <si>
    <t>Gare Mattiussi</t>
  </si>
  <si>
    <t>Carlin Demke</t>
  </si>
  <si>
    <t>Wilt Wayvill</t>
  </si>
  <si>
    <t>Ardyce Eacott</t>
  </si>
  <si>
    <t>Lane Monteaux</t>
  </si>
  <si>
    <t>Cathi Gillbee</t>
  </si>
  <si>
    <t>Ronnie Mesias</t>
  </si>
  <si>
    <t>Hali Behnecke</t>
  </si>
  <si>
    <t>Grady Rochelle</t>
  </si>
  <si>
    <t>Crissie Cordel</t>
  </si>
  <si>
    <t>Durand Backhouse</t>
  </si>
  <si>
    <t>Wendel Malletratt</t>
  </si>
  <si>
    <t>Shellysheldon Ellerman</t>
  </si>
  <si>
    <t>Emmeline Bestwerthick</t>
  </si>
  <si>
    <t>Marmaduke Worssam</t>
  </si>
  <si>
    <t>Murial Ickovici</t>
  </si>
  <si>
    <t>Honoria Cootes</t>
  </si>
  <si>
    <t>Garvin Delacroix</t>
  </si>
  <si>
    <t>Merrel Blind</t>
  </si>
  <si>
    <t>Rosamond Fishe</t>
  </si>
  <si>
    <t>Shelley Moncreiffe</t>
  </si>
  <si>
    <t>Cecilla Joselevitch</t>
  </si>
  <si>
    <t>Jolynn Behnecken</t>
  </si>
  <si>
    <t>Adolph McNalley</t>
  </si>
  <si>
    <t>Pippy Roxby</t>
  </si>
  <si>
    <t>Jessi Calterone</t>
  </si>
  <si>
    <t>Moore Gligoraci</t>
  </si>
  <si>
    <t>Mallory Goldsberry</t>
  </si>
  <si>
    <t>Nerissa Kavanagh</t>
  </si>
  <si>
    <t>Foss Asquez</t>
  </si>
  <si>
    <t>Ab Lehrian</t>
  </si>
  <si>
    <t>Mickey Pybus</t>
  </si>
  <si>
    <t>Timmy Brenston</t>
  </si>
  <si>
    <t>Romona Melody</t>
  </si>
  <si>
    <t>Bendite Bloan</t>
  </si>
  <si>
    <t>Andrea Penfold</t>
  </si>
  <si>
    <t>Shari Pickston</t>
  </si>
  <si>
    <t>Dennison Crosswaite</t>
  </si>
  <si>
    <t>Lucias Minico</t>
  </si>
  <si>
    <t>Helaine Lyddy</t>
  </si>
  <si>
    <t>Carlene Torry</t>
  </si>
  <si>
    <t>Vere Kulic</t>
  </si>
  <si>
    <t>Enrichetta Mowles</t>
  </si>
  <si>
    <t>Delinda Snozzwell</t>
  </si>
  <si>
    <t>Cecilio Sprankling</t>
  </si>
  <si>
    <t>Nickolai Artin</t>
  </si>
  <si>
    <t>Ambrosio Daniely</t>
  </si>
  <si>
    <t>Simon Kembery</t>
  </si>
  <si>
    <t>Brig Dewi</t>
  </si>
  <si>
    <t>Althea Bronger</t>
  </si>
  <si>
    <t>Ansley Gounel</t>
  </si>
  <si>
    <t>Daven Smout</t>
  </si>
  <si>
    <t>Julietta Culross</t>
  </si>
  <si>
    <t>Niall Selesnick</t>
  </si>
  <si>
    <t>Lia Lurner</t>
  </si>
  <si>
    <t>Rodrigo Congdon</t>
  </si>
  <si>
    <t>Brendan Edgeller</t>
  </si>
  <si>
    <t>Revkah Antonacci</t>
  </si>
  <si>
    <t>Dewey Berthod</t>
  </si>
  <si>
    <t>Fidelio Rigmond</t>
  </si>
  <si>
    <t>Ginger Myott</t>
  </si>
  <si>
    <t>Hatti Vezey</t>
  </si>
  <si>
    <t>Eilis Pavlasek</t>
  </si>
  <si>
    <t>Kellsie Waby</t>
  </si>
  <si>
    <t>Easter Pyke</t>
  </si>
  <si>
    <t>Inger Andriveaux</t>
  </si>
  <si>
    <t>Corina Triner</t>
  </si>
  <si>
    <t>Loralyn Bruton</t>
  </si>
  <si>
    <t>Clari Boole</t>
  </si>
  <si>
    <t>Susy Challoner</t>
  </si>
  <si>
    <t>Jan Morforth</t>
  </si>
  <si>
    <t>Cindi Stratten</t>
  </si>
  <si>
    <t>Marline Wahncke</t>
  </si>
  <si>
    <t>Violetta Vial</t>
  </si>
  <si>
    <t>Beatriz Bateson</t>
  </si>
  <si>
    <t>Evangelia Gowers</t>
  </si>
  <si>
    <t>Fonzie O'Shea</t>
  </si>
  <si>
    <t>Janene Hairsine</t>
  </si>
  <si>
    <t>Linell Compfort</t>
  </si>
  <si>
    <t>Shaylah Owbrick</t>
  </si>
  <si>
    <t>Honor Herreros</t>
  </si>
  <si>
    <t>Bethanne Leicester</t>
  </si>
  <si>
    <t>Ottilie Vittel</t>
  </si>
  <si>
    <t>Barnaby Farnall</t>
  </si>
  <si>
    <t>Arlie Newcombe</t>
  </si>
  <si>
    <t>Ashien Gallen</t>
  </si>
  <si>
    <t>Stan Tolliday</t>
  </si>
  <si>
    <t>Abe Gayter</t>
  </si>
  <si>
    <t>Kissiah Maydway</t>
  </si>
  <si>
    <t>Charline Husset</t>
  </si>
  <si>
    <t>Lorain Tew</t>
  </si>
  <si>
    <t>North Bertomeu</t>
  </si>
  <si>
    <t>Martita Beaumont</t>
  </si>
  <si>
    <t>Janaya MacGinlay</t>
  </si>
  <si>
    <t>Ancell Moretto</t>
  </si>
  <si>
    <t>Minerva Ricardot</t>
  </si>
  <si>
    <t>Toby Brodhead</t>
  </si>
  <si>
    <t>Niles Mahomet</t>
  </si>
  <si>
    <t>Avigdor Karel</t>
  </si>
  <si>
    <t>Luca Wolstenholme</t>
  </si>
  <si>
    <t>Efrem Mathonnet</t>
  </si>
  <si>
    <t>Latisha Jolly</t>
  </si>
  <si>
    <t>Quentin Ferraresi</t>
  </si>
  <si>
    <t>Marco Wooland</t>
  </si>
  <si>
    <t>Thekla Lynnett</t>
  </si>
  <si>
    <t>Pedro Carluccio</t>
  </si>
  <si>
    <t>Caron Kolakovic</t>
  </si>
  <si>
    <t>Debera Gow</t>
  </si>
  <si>
    <t>Hoyt D'Alesco</t>
  </si>
  <si>
    <t>Rudyard Tomsa</t>
  </si>
  <si>
    <t>Orran Gritskov</t>
  </si>
  <si>
    <t>Tyson Prescote</t>
  </si>
  <si>
    <t>Berenice Osbaldstone</t>
  </si>
  <si>
    <t>Jessika Jaycocks</t>
  </si>
  <si>
    <t>Gabie Millichip</t>
  </si>
  <si>
    <t>Pearla Beteriss</t>
  </si>
  <si>
    <t>Harwilll Domotor</t>
  </si>
  <si>
    <t>Carolina Blumsom</t>
  </si>
  <si>
    <t>Ryon Baroch</t>
  </si>
  <si>
    <t>Marissa Infante</t>
  </si>
  <si>
    <t>Daisie Dahlman</t>
  </si>
  <si>
    <t>Joli Jodrelle</t>
  </si>
  <si>
    <t>Jessica Callcott</t>
  </si>
  <si>
    <t>Michail Sicha</t>
  </si>
  <si>
    <t>Sabina Scorrer</t>
  </si>
  <si>
    <t>Bayard Gendricke</t>
  </si>
  <si>
    <t>Esmaria Denecamp</t>
  </si>
  <si>
    <t>Antone Tolmie</t>
  </si>
  <si>
    <t>Tammi Lackham</t>
  </si>
  <si>
    <t>Northrop Reid</t>
  </si>
  <si>
    <t>Nananne Gehringer</t>
  </si>
  <si>
    <t>Loren Bentote</t>
  </si>
  <si>
    <t>Manolo Gasnell</t>
  </si>
  <si>
    <t>Wyatt Clinch</t>
  </si>
  <si>
    <t>Giselbert Newlands</t>
  </si>
  <si>
    <t>Cristal Demangeot</t>
  </si>
  <si>
    <t>Jaime Dowe</t>
  </si>
  <si>
    <t>Addia Penwright</t>
  </si>
  <si>
    <t>Ali Roubert</t>
  </si>
  <si>
    <t>Emmye Corry</t>
  </si>
  <si>
    <t>Addy Pimblett</t>
  </si>
  <si>
    <t>Angela Bangley</t>
  </si>
  <si>
    <t>Elbertine Hiscoe</t>
  </si>
  <si>
    <t>Baudoin Dummigan</t>
  </si>
  <si>
    <t>Lissy McCoy</t>
  </si>
  <si>
    <t>Ingunna Wainscoat</t>
  </si>
  <si>
    <t>Amii Elms</t>
  </si>
  <si>
    <t>Ignacio Delion</t>
  </si>
  <si>
    <t>Colby Reuven</t>
  </si>
  <si>
    <t>Maggee Stiggles</t>
  </si>
  <si>
    <t>Kelci Walkden</t>
  </si>
  <si>
    <t>Bogey Hitcham</t>
  </si>
  <si>
    <t>Pembroke Siflet</t>
  </si>
  <si>
    <t>Adolph Hartin</t>
  </si>
  <si>
    <t>Gisela Wille</t>
  </si>
  <si>
    <t>Joyce Leyband</t>
  </si>
  <si>
    <t>Reube Sushams</t>
  </si>
  <si>
    <t>Mathian MacMeeking</t>
  </si>
  <si>
    <t>Antonino Forsdicke</t>
  </si>
  <si>
    <t>Mick Spraberry</t>
  </si>
  <si>
    <t>Benita Gillice</t>
  </si>
  <si>
    <t>Caresa Christer</t>
  </si>
  <si>
    <t>Letizia Hasselby</t>
  </si>
  <si>
    <t>Luce Beentjes</t>
  </si>
  <si>
    <t>Sammy Gantlett</t>
  </si>
  <si>
    <t>Pooh Splevins</t>
  </si>
  <si>
    <t>Aeriela Aickin</t>
  </si>
  <si>
    <t>Tawnya Tickel</t>
  </si>
  <si>
    <t>Royal Nowakowska</t>
  </si>
  <si>
    <t>Winny Millam</t>
  </si>
  <si>
    <t>Michael Sidry</t>
  </si>
  <si>
    <t>Nolan Tortis</t>
  </si>
  <si>
    <t>De witt Lottrington</t>
  </si>
  <si>
    <t>Baxter Brocks</t>
  </si>
  <si>
    <t>Joyce Esel</t>
  </si>
  <si>
    <t>Van Tuxwell</t>
  </si>
  <si>
    <t>Fidela Artis</t>
  </si>
  <si>
    <t>Dov Thoresby</t>
  </si>
  <si>
    <t>Aloise MacCathay</t>
  </si>
  <si>
    <t>Cathi Delgardo</t>
  </si>
  <si>
    <t>Doro Nolte</t>
  </si>
  <si>
    <t>Noll Forbear</t>
  </si>
  <si>
    <t>Myer McCory</t>
  </si>
  <si>
    <t>Doralyn Segar</t>
  </si>
  <si>
    <t>Clo Jimpson</t>
  </si>
  <si>
    <t>Audry Yu</t>
  </si>
  <si>
    <t>Dolley Grayley</t>
  </si>
  <si>
    <t>Meredith Rucklidge</t>
  </si>
  <si>
    <t>Valida Merrigans</t>
  </si>
  <si>
    <t>Rory Ravenscroftt</t>
  </si>
  <si>
    <t>Verla Timmis</t>
  </si>
  <si>
    <t>Jo Benoi</t>
  </si>
  <si>
    <t>Marquita Liquorish</t>
  </si>
  <si>
    <t>Caty Janas</t>
  </si>
  <si>
    <t>Pennie Walmsley</t>
  </si>
  <si>
    <t>Virge Garfield</t>
  </si>
  <si>
    <t>Rebecca Shillan</t>
  </si>
  <si>
    <t>Myrilla Mercik</t>
  </si>
  <si>
    <t>Giacobo Donke</t>
  </si>
  <si>
    <t>Barbara-anne Kenchington</t>
  </si>
  <si>
    <t>Aida Bleacher</t>
  </si>
  <si>
    <t>Cly Vizard</t>
  </si>
  <si>
    <t>Aleksandr Botha</t>
  </si>
  <si>
    <t>Evangelina Lergan</t>
  </si>
  <si>
    <t>Maritsa Marusic</t>
  </si>
  <si>
    <t>Tamar MacGilfoyle</t>
  </si>
  <si>
    <t>Chancey Dyos</t>
  </si>
  <si>
    <t>Isaak Rawne</t>
  </si>
  <si>
    <t>Gideon Hehir</t>
  </si>
  <si>
    <t>Irena Trousdell</t>
  </si>
  <si>
    <t>Gino Groome</t>
  </si>
  <si>
    <t>Lamond Douthwaite</t>
  </si>
  <si>
    <t>Ebonee Roxburgh</t>
  </si>
  <si>
    <t>Nathanial Brounfield</t>
  </si>
  <si>
    <t>Mallorie Waber</t>
  </si>
  <si>
    <t>Ewart Laphorn</t>
  </si>
  <si>
    <t>Hilliary Roarty</t>
  </si>
  <si>
    <t>Putnem Manchester</t>
  </si>
  <si>
    <t>Lanie Gatlin</t>
  </si>
  <si>
    <t>Michel Jados</t>
  </si>
  <si>
    <t>Lezlie Philcott</t>
  </si>
  <si>
    <t>Sharl Bendson</t>
  </si>
  <si>
    <t>William Reeveley</t>
  </si>
  <si>
    <t>Granville Stetson</t>
  </si>
  <si>
    <t>Mirna Etoile</t>
  </si>
  <si>
    <t>Freddie Johnikin</t>
  </si>
  <si>
    <t>Natalee Craiker</t>
  </si>
  <si>
    <t>Mariette Daymont</t>
  </si>
  <si>
    <t>Lonny Caen</t>
  </si>
  <si>
    <t>Kath Bletsoe</t>
  </si>
  <si>
    <t>Gayla Blackadder</t>
  </si>
  <si>
    <t>Adela Dowsett</t>
  </si>
  <si>
    <t>Sharron Petegree</t>
  </si>
  <si>
    <t>Eleonore Airdrie</t>
  </si>
  <si>
    <t>Rhiamon Mollison</t>
  </si>
  <si>
    <t>Karon Oscroft</t>
  </si>
  <si>
    <t>Edi Hofton</t>
  </si>
  <si>
    <t>Derk Bosson</t>
  </si>
  <si>
    <t>Lorrie Derycot</t>
  </si>
  <si>
    <t>Hartwell Pratchett</t>
  </si>
  <si>
    <t>Van Ruseworth</t>
  </si>
  <si>
    <t>Inge Creer</t>
  </si>
  <si>
    <t>Elwira Lyddiard</t>
  </si>
  <si>
    <t>Kincaid Hellicar</t>
  </si>
  <si>
    <t>Maximo Guirard</t>
  </si>
  <si>
    <t>Alta Kaszper</t>
  </si>
  <si>
    <t>Lamar Blewitt</t>
  </si>
  <si>
    <t>Hector Isard</t>
  </si>
  <si>
    <t>Judi Cosgriff</t>
  </si>
  <si>
    <t>Janean Gostage</t>
  </si>
  <si>
    <t>Delphine Jewis</t>
  </si>
  <si>
    <t>Matias Cormack</t>
  </si>
  <si>
    <t>Rogers Rosenthaler</t>
  </si>
  <si>
    <t>Clarine Shambrooke</t>
  </si>
  <si>
    <t>Thedrick Rogeon</t>
  </si>
  <si>
    <t>Roanne Phizacklea</t>
  </si>
  <si>
    <t>Devinne Tuny</t>
  </si>
  <si>
    <t>Martelle Brise</t>
  </si>
  <si>
    <t>Dino Wooderson</t>
  </si>
  <si>
    <t>Effie Vasilov</t>
  </si>
  <si>
    <t>Jermaine Steers</t>
  </si>
  <si>
    <t>Elliot Revelle</t>
  </si>
  <si>
    <t>Mora Innett</t>
  </si>
  <si>
    <t>Mahalia Larcher</t>
  </si>
  <si>
    <t>Dotty Strutley</t>
  </si>
  <si>
    <t>Margy Elward</t>
  </si>
  <si>
    <t>Danica Nayshe</t>
  </si>
  <si>
    <t>Merrilee Plenty</t>
  </si>
  <si>
    <t>Romona Dimmne</t>
  </si>
  <si>
    <t>Lark Ironmonger</t>
  </si>
  <si>
    <t>Caritta Searl</t>
  </si>
  <si>
    <t>Ernestus O'Hengerty</t>
  </si>
  <si>
    <t>Camilla Castle</t>
  </si>
  <si>
    <t>Bette-ann Leafe</t>
  </si>
  <si>
    <t>Aurelia Stanners</t>
  </si>
  <si>
    <t>Shelby Buckland</t>
  </si>
  <si>
    <t>Barr Faughny</t>
  </si>
  <si>
    <t>Farris Ditchfield</t>
  </si>
  <si>
    <t>Gerald Caple</t>
  </si>
  <si>
    <t>Grier Kidsley</t>
  </si>
  <si>
    <t>Yves Pawlik</t>
  </si>
  <si>
    <t>Korney Bockings</t>
  </si>
  <si>
    <t>Stephan Bussel</t>
  </si>
  <si>
    <t>Caron Pleven</t>
  </si>
  <si>
    <t>Jedd Moretto</t>
  </si>
  <si>
    <t>Verney Sloegrave</t>
  </si>
  <si>
    <t>Nerita Mycock</t>
  </si>
  <si>
    <t>Mella Northam</t>
  </si>
  <si>
    <t>Thedrick Bothwell</t>
  </si>
  <si>
    <t>Georgianne Archbutt</t>
  </si>
  <si>
    <t>Thorvald Milliken</t>
  </si>
  <si>
    <t>Aileen McCritchie</t>
  </si>
  <si>
    <t>Drusy MacCombe</t>
  </si>
  <si>
    <t>Cathyleen Hurch</t>
  </si>
  <si>
    <t>Jannel Labb</t>
  </si>
  <si>
    <t>Cheryl Mantz</t>
  </si>
  <si>
    <t>Madlen Ashburner</t>
  </si>
  <si>
    <t>Colly Littledike</t>
  </si>
  <si>
    <t>Karyn Creeghan</t>
  </si>
  <si>
    <t>Edgard Irving</t>
  </si>
  <si>
    <t>Cyril Medford</t>
  </si>
  <si>
    <t>Kikelia Ellor</t>
  </si>
  <si>
    <t>Dael Bugge</t>
  </si>
  <si>
    <t>Ferrell Skepper</t>
  </si>
  <si>
    <t>Hannis January</t>
  </si>
  <si>
    <t>Pierson Measham</t>
  </si>
  <si>
    <t>Xylina Pargetter</t>
  </si>
  <si>
    <t>Aretha Ettridge</t>
  </si>
  <si>
    <t>Joshia Farris</t>
  </si>
  <si>
    <t>Mabel Orrow</t>
  </si>
  <si>
    <t>Alexandros Rackley</t>
  </si>
  <si>
    <t>Mickie Dagwell</t>
  </si>
  <si>
    <t>Marni Jull</t>
  </si>
  <si>
    <t>Sandy Cadden</t>
  </si>
  <si>
    <t>Marney O'Breen</t>
  </si>
  <si>
    <t>Westbrook Brandino</t>
  </si>
  <si>
    <t>Sandi Labat</t>
  </si>
  <si>
    <t>Leilah Yesinin</t>
  </si>
  <si>
    <t>Lincoln Greatex</t>
  </si>
  <si>
    <t>Patti Dradey</t>
  </si>
  <si>
    <t>Oona Donan</t>
  </si>
  <si>
    <t>Burtie Moulden</t>
  </si>
  <si>
    <t>Reg MacMichael</t>
  </si>
  <si>
    <t>Tonia Moules</t>
  </si>
  <si>
    <t>Joey Keedwell</t>
  </si>
  <si>
    <t>Bryant Scamp</t>
  </si>
  <si>
    <t>Mick Titman</t>
  </si>
  <si>
    <t>Trudie Couch</t>
  </si>
  <si>
    <t>Cyndia Skedge</t>
  </si>
  <si>
    <t>Francoise Godbold</t>
  </si>
  <si>
    <t>Staford Brood</t>
  </si>
  <si>
    <t>Filmore Fitzhenry</t>
  </si>
  <si>
    <t>Berna Dubery</t>
  </si>
  <si>
    <t>Gerrard Doorey</t>
  </si>
  <si>
    <t>Hiram Merkle</t>
  </si>
  <si>
    <t>Zebulon Allmen</t>
  </si>
  <si>
    <t>Kingsley Hagard</t>
  </si>
  <si>
    <t>My Hanscome</t>
  </si>
  <si>
    <t>Eldredge MacClure</t>
  </si>
  <si>
    <t>Pauletta Falkus</t>
  </si>
  <si>
    <t>Deck McCallion</t>
  </si>
  <si>
    <t>Miguel Woolner</t>
  </si>
  <si>
    <t>Yolande O'Dare</t>
  </si>
  <si>
    <t>Kit Battlestone</t>
  </si>
  <si>
    <t>Glennis Fussen</t>
  </si>
  <si>
    <t>Theresita Chasmer</t>
  </si>
  <si>
    <t>Pippy Shepperd</t>
  </si>
  <si>
    <t>Petronella Marusik</t>
  </si>
  <si>
    <t>Andria Kimpton</t>
  </si>
  <si>
    <t>Jarad Barbrook</t>
  </si>
  <si>
    <t>Dulsea Folkes</t>
  </si>
  <si>
    <t>Herschel Wareham</t>
  </si>
  <si>
    <t>Skip Morkham</t>
  </si>
  <si>
    <t>Dayle O'Luney</t>
  </si>
  <si>
    <t>Gray Seamon</t>
  </si>
  <si>
    <t>Krysta Elacoate</t>
  </si>
  <si>
    <t>Abramo Labbez</t>
  </si>
  <si>
    <t>Faun Rickeard</t>
  </si>
  <si>
    <t>Jamesy O'Ferris</t>
  </si>
  <si>
    <t>Fanchon Furney</t>
  </si>
  <si>
    <t>Pate Beardsley</t>
  </si>
  <si>
    <t>Grady Crosgrove</t>
  </si>
  <si>
    <t>Darcy Brewitt</t>
  </si>
  <si>
    <t>Gilda Richen</t>
  </si>
  <si>
    <t>Jobie Basili</t>
  </si>
  <si>
    <t>Everard Borer</t>
  </si>
  <si>
    <t>Anni Izzard</t>
  </si>
  <si>
    <t>Bebe Pollicott</t>
  </si>
  <si>
    <t>Julian Andrassy</t>
  </si>
  <si>
    <t>Shell O'Griffin</t>
  </si>
  <si>
    <t>Dionne Garrish</t>
  </si>
  <si>
    <t>Alexis Gotfrey</t>
  </si>
  <si>
    <t>Xavier Filipic</t>
  </si>
  <si>
    <t>Liane Bedburrow</t>
  </si>
  <si>
    <t>Meara Darrington</t>
  </si>
  <si>
    <t>Genevra Friday</t>
  </si>
  <si>
    <t>Penni Patemore</t>
  </si>
  <si>
    <t>Yanaton Wooster</t>
  </si>
  <si>
    <t>Hedvige Stelfox</t>
  </si>
  <si>
    <t>Tammy Backson</t>
  </si>
  <si>
    <t>Inger Chapelhow</t>
  </si>
  <si>
    <t>Arty Duigan</t>
  </si>
  <si>
    <t>Nani Brockley</t>
  </si>
  <si>
    <t>Curtice Advani</t>
  </si>
  <si>
    <t>Leela Eckart</t>
  </si>
  <si>
    <t>Jori Ashleigh</t>
  </si>
  <si>
    <t>Leslie Baruch</t>
  </si>
  <si>
    <t>Helene Bouts</t>
  </si>
  <si>
    <t>Eleni O'Quin</t>
  </si>
  <si>
    <t>Alic Bagg</t>
  </si>
  <si>
    <t>Maible Azemar</t>
  </si>
  <si>
    <t>Abran Danielsky</t>
  </si>
  <si>
    <t>Halette Yesenev</t>
  </si>
  <si>
    <t>Cleveland Pottiphar</t>
  </si>
  <si>
    <t>Osborn Pawle</t>
  </si>
  <si>
    <t>Chas Happel</t>
  </si>
  <si>
    <t>Roth Bourget</t>
  </si>
  <si>
    <t>Maisie Shotboulte</t>
  </si>
  <si>
    <t>Felita Whitloe</t>
  </si>
  <si>
    <t>Cindi McDuffy</t>
  </si>
  <si>
    <t>Dorise Labat</t>
  </si>
  <si>
    <t>Hephzibah Summerell</t>
  </si>
  <si>
    <t>Alyosha Riquet</t>
  </si>
  <si>
    <t>Maximo Ungerecht</t>
  </si>
  <si>
    <t>Lezlie Balmann</t>
  </si>
  <si>
    <t>Benny Karolovsky</t>
  </si>
  <si>
    <t>Gretchen Callow</t>
  </si>
  <si>
    <t>Candace Hanlon</t>
  </si>
  <si>
    <t>Oby Sorrel</t>
  </si>
  <si>
    <t>Cecilia Marshalleck</t>
  </si>
  <si>
    <t>Antonetta Coggeshall</t>
  </si>
  <si>
    <t>Purcell Le Pine</t>
  </si>
  <si>
    <t>Archibald Dyzart</t>
  </si>
  <si>
    <t>Lil Ibberson</t>
  </si>
  <si>
    <t>Karita Vasyanin</t>
  </si>
  <si>
    <t>Joaquin McVitty</t>
  </si>
  <si>
    <t>Collen Dunbleton</t>
  </si>
  <si>
    <t>Alysa Wankling</t>
  </si>
  <si>
    <t>Ardella Dyment</t>
  </si>
  <si>
    <t>Ryun Fasset</t>
  </si>
  <si>
    <t>Rodina Drinan</t>
  </si>
  <si>
    <t>Marga Lorenzo</t>
  </si>
  <si>
    <t>Alvie Keming</t>
  </si>
  <si>
    <t>Sheff Gerdts</t>
  </si>
  <si>
    <t>Josie Barnson</t>
  </si>
  <si>
    <t>Petey Probey</t>
  </si>
  <si>
    <t>Shelbi Aldin</t>
  </si>
  <si>
    <t>Estell Kingsland</t>
  </si>
  <si>
    <t>Lea Chaplin</t>
  </si>
  <si>
    <t>Onofredo Hassan</t>
  </si>
  <si>
    <t>Hyacinthie Braybrooke</t>
  </si>
  <si>
    <t>Agnes Collicott</t>
  </si>
  <si>
    <t>Margarete Blasing</t>
  </si>
  <si>
    <t>Patience Noot</t>
  </si>
  <si>
    <t>Charmane Heistermann</t>
  </si>
  <si>
    <t>Jamal Beagen</t>
  </si>
  <si>
    <t>Brigid Jeffrey</t>
  </si>
  <si>
    <t>Nelli Schoolfield</t>
  </si>
  <si>
    <t>Abigael Basire</t>
  </si>
  <si>
    <t>Anjanette Ferre</t>
  </si>
  <si>
    <t>Mackenzie Hannis</t>
  </si>
  <si>
    <t>Ambros Murthwaite</t>
  </si>
  <si>
    <t>Lek Scamaden</t>
  </si>
  <si>
    <t>Jehu Rudeforth</t>
  </si>
  <si>
    <t>Bert Yaakov</t>
  </si>
  <si>
    <t>Bordy Yatman</t>
  </si>
  <si>
    <t>Georgie Caress</t>
  </si>
  <si>
    <t>Jolynn Lumbley</t>
  </si>
  <si>
    <t>Gwendolyn Chrippes</t>
  </si>
  <si>
    <t>Blythe Clipston</t>
  </si>
  <si>
    <t>Sisely Hatchman</t>
  </si>
  <si>
    <t>Alicea Pudsall</t>
  </si>
  <si>
    <t>Karee Ruslinge</t>
  </si>
  <si>
    <t>Wilone O'Kielt</t>
  </si>
  <si>
    <t>Justino Chapiro</t>
  </si>
  <si>
    <t>Sisely Gatsby</t>
  </si>
  <si>
    <t>Shantee D'Antonio</t>
  </si>
  <si>
    <t>Blaire Ruckman</t>
  </si>
  <si>
    <t>William Coveny</t>
  </si>
  <si>
    <t>Packston Joanic</t>
  </si>
  <si>
    <t>Sile Whorton</t>
  </si>
  <si>
    <t>Billi Fellgate</t>
  </si>
  <si>
    <t>Franchot Crocken</t>
  </si>
  <si>
    <t>Cletus McGarahan</t>
  </si>
  <si>
    <t>Callie Duckels</t>
  </si>
  <si>
    <t>Roselle Wandrach</t>
  </si>
  <si>
    <t>Lishe Casemore</t>
  </si>
  <si>
    <t>Garey Bird</t>
  </si>
  <si>
    <t>Toby Micklewright</t>
  </si>
  <si>
    <t>Dell Molloy</t>
  </si>
  <si>
    <t>Fidela Dowey</t>
  </si>
  <si>
    <t>Emmanuel Westrey</t>
  </si>
  <si>
    <t>Melodie Torresi</t>
  </si>
  <si>
    <t>Dewie Stodart</t>
  </si>
  <si>
    <t>Giffer Berlin</t>
  </si>
  <si>
    <t>Bealle Glentworth</t>
  </si>
  <si>
    <t>Sarajane Scourge</t>
  </si>
  <si>
    <t>Rose Shurrocks</t>
  </si>
  <si>
    <t>Mata Fishley</t>
  </si>
  <si>
    <t>Irvine Blenkin</t>
  </si>
  <si>
    <t>Wald Bountiff</t>
  </si>
  <si>
    <t>Leonerd Jiru</t>
  </si>
  <si>
    <t>Hinda Label</t>
  </si>
  <si>
    <t>Irwin Kirsche</t>
  </si>
  <si>
    <t>Jill Shipsey</t>
  </si>
  <si>
    <t>Anabal Cooke</t>
  </si>
  <si>
    <t>Ava Whordley</t>
  </si>
  <si>
    <t>Laney Thowless</t>
  </si>
  <si>
    <t>Orlando Gorstidge</t>
  </si>
  <si>
    <t>Robbert Mandrier</t>
  </si>
  <si>
    <t>Twila Roantree</t>
  </si>
  <si>
    <t>Archibald Filliskirk</t>
  </si>
  <si>
    <t>Denni Wiggans</t>
  </si>
  <si>
    <t>Pyotr Lightewood</t>
  </si>
  <si>
    <t>Shari McNee</t>
  </si>
  <si>
    <t>Issiah Cradick</t>
  </si>
  <si>
    <t>Nollie Courteney</t>
  </si>
  <si>
    <t>Tadio Dowdle</t>
  </si>
  <si>
    <t>Ondrea Banfield</t>
  </si>
  <si>
    <t>Asia Jerson</t>
  </si>
  <si>
    <t>Cornie Arstall</t>
  </si>
  <si>
    <t>Hogan Iles</t>
  </si>
  <si>
    <t>Saundra O'Connel</t>
  </si>
  <si>
    <t>Malva Iacovacci</t>
  </si>
  <si>
    <t>Rosaline Wenderott</t>
  </si>
  <si>
    <t>Bobina Teale</t>
  </si>
  <si>
    <t>Ruby Cracie</t>
  </si>
  <si>
    <t>Sissy Muehle</t>
  </si>
  <si>
    <t>Itch Tinklin</t>
  </si>
  <si>
    <t>Sibyl Dunkirk</t>
  </si>
  <si>
    <t>Brodie Grimstead</t>
  </si>
  <si>
    <t>Amitie Mawson</t>
  </si>
  <si>
    <t>Dane Wudeland</t>
  </si>
  <si>
    <t>Yvette Bett</t>
  </si>
  <si>
    <t>Ianthe Sayre</t>
  </si>
  <si>
    <t>Jacklyn Andrioletti</t>
  </si>
  <si>
    <t>Eliza Hoggan</t>
  </si>
  <si>
    <t>Conchita Soden</t>
  </si>
  <si>
    <t>Reggie Taylerson</t>
  </si>
  <si>
    <t>Leslie Cardoso</t>
  </si>
  <si>
    <t>Milton Lilie</t>
  </si>
  <si>
    <t>Aeriell Cuell</t>
  </si>
  <si>
    <t>Anne-corinne Daulby</t>
  </si>
  <si>
    <t>Lisle Danahar</t>
  </si>
  <si>
    <t>Bryana Loyns</t>
  </si>
  <si>
    <t>Anjela Spancock</t>
  </si>
  <si>
    <t>Daisie McNeice</t>
  </si>
  <si>
    <t>Jillana Gabbitis</t>
  </si>
  <si>
    <t>Roddy Speechley</t>
  </si>
  <si>
    <t>Oran Buxcy</t>
  </si>
  <si>
    <t>Beverie Moffet</t>
  </si>
  <si>
    <t>Novelia Pyffe</t>
  </si>
  <si>
    <t>Dare Tully</t>
  </si>
  <si>
    <t>Lilyan Klimpt</t>
  </si>
  <si>
    <t>Jo-anne Gobeau</t>
  </si>
  <si>
    <t>Florinda Crace</t>
  </si>
  <si>
    <t>Dominic Ortler</t>
  </si>
  <si>
    <t>Cathrin Yanuk</t>
  </si>
  <si>
    <t>Austine Littlewood</t>
  </si>
  <si>
    <t>Alford Gerardi</t>
  </si>
  <si>
    <t>Cullie Bourcq</t>
  </si>
  <si>
    <t>Emanuel Beldan</t>
  </si>
  <si>
    <t>Hildagard Reece</t>
  </si>
  <si>
    <t>Kai Ryder</t>
  </si>
  <si>
    <t>Jeannie Petracco</t>
  </si>
  <si>
    <t>Brad Gumb</t>
  </si>
  <si>
    <t>Bonnie Newland</t>
  </si>
  <si>
    <t>Reinald Franken</t>
  </si>
  <si>
    <t>Carolyn Attack</t>
  </si>
  <si>
    <t>Naoma Cruse</t>
  </si>
  <si>
    <t>Oates Dinan</t>
  </si>
  <si>
    <t>Daphne Francillo</t>
  </si>
  <si>
    <t>Trix Lutsch</t>
  </si>
  <si>
    <t>Carolin Fieldstone</t>
  </si>
  <si>
    <t>Corabel Luberto</t>
  </si>
  <si>
    <t>Nicola Kiely</t>
  </si>
  <si>
    <t>Rey Chartman</t>
  </si>
  <si>
    <t>Israel Farndon</t>
  </si>
  <si>
    <t>Felipe Parkman</t>
  </si>
  <si>
    <t>Margit Kunze</t>
  </si>
  <si>
    <t>Oliy Feeney</t>
  </si>
  <si>
    <t>Sandie Anthonies</t>
  </si>
  <si>
    <t>Anni Dinse</t>
  </si>
  <si>
    <t>Gaultiero Have</t>
  </si>
  <si>
    <t>Corinna Griffiths</t>
  </si>
  <si>
    <t>Cherlyn Barter</t>
  </si>
  <si>
    <t>Shea Mix</t>
  </si>
  <si>
    <t>Leonidas Cavaney</t>
  </si>
  <si>
    <t>Tallie Chaikovski</t>
  </si>
  <si>
    <t>Rik Delete</t>
  </si>
  <si>
    <t>Bill Luffman</t>
  </si>
  <si>
    <t>Codie Gaunson</t>
  </si>
  <si>
    <t>Kaine Padly</t>
  </si>
  <si>
    <t>Freda Legan</t>
  </si>
  <si>
    <t>Christos Wintle</t>
  </si>
  <si>
    <t>Magnum Locksley</t>
  </si>
  <si>
    <t>Adrianne Gave</t>
  </si>
  <si>
    <t>Warner Carwithan</t>
  </si>
  <si>
    <t>Appolonia Snook</t>
  </si>
  <si>
    <t>Alikee Jecock</t>
  </si>
  <si>
    <t>Shay Chasney</t>
  </si>
  <si>
    <t>Trey Jurges</t>
  </si>
  <si>
    <t>Tracy Renad</t>
  </si>
  <si>
    <t>Sarajane Peachey</t>
  </si>
  <si>
    <t>Bili Sizey</t>
  </si>
  <si>
    <t>Clement Penhearow</t>
  </si>
  <si>
    <t>Shaun Kyrkeman</t>
  </si>
  <si>
    <t>Leena Bruckshaw</t>
  </si>
  <si>
    <t>Benni Simounet</t>
  </si>
  <si>
    <t>Kay Edling</t>
  </si>
  <si>
    <t>Shayne Stegel</t>
  </si>
  <si>
    <t>Floyd Cowgill</t>
  </si>
  <si>
    <t>Claretta MacQuist</t>
  </si>
  <si>
    <t>Brien Boise</t>
  </si>
  <si>
    <t>Pancho De Ortega</t>
  </si>
  <si>
    <t>Edd MacKnockiter</t>
  </si>
  <si>
    <t>Hobie Stockbridge</t>
  </si>
  <si>
    <t>Ludovika Plaice</t>
  </si>
  <si>
    <t>Odessa Pusill</t>
  </si>
  <si>
    <t>Caro Hainsworth</t>
  </si>
  <si>
    <t>Nicolis Winspire</t>
  </si>
  <si>
    <t>Niko MacGille</t>
  </si>
  <si>
    <t>Evanne Levens</t>
  </si>
  <si>
    <t>Michale Rolf</t>
  </si>
  <si>
    <t>Cecilla Northen</t>
  </si>
  <si>
    <t>Cyrillus Garci</t>
  </si>
  <si>
    <t>Gunar Cockshoot</t>
  </si>
  <si>
    <t>Silva Monte</t>
  </si>
  <si>
    <t>Hans Bucke</t>
  </si>
  <si>
    <t>Elia Cockton</t>
  </si>
  <si>
    <t>Freddy Linford</t>
  </si>
  <si>
    <t>Gwenore Scotchmer</t>
  </si>
  <si>
    <t>Maggie Ruberti</t>
  </si>
  <si>
    <t>Allyce Hincham</t>
  </si>
  <si>
    <t>Juanita Trembey</t>
  </si>
  <si>
    <t>Lincoln Cord</t>
  </si>
  <si>
    <t>Kerwin Blakely</t>
  </si>
  <si>
    <t>Granny Spencelayh</t>
  </si>
  <si>
    <t>Collin Jagson</t>
  </si>
  <si>
    <t>Monti Burdus</t>
  </si>
  <si>
    <t>Konstantin Timblett</t>
  </si>
  <si>
    <t>Fax Scotland</t>
  </si>
  <si>
    <t>Isidora Guido</t>
  </si>
  <si>
    <t>Erv Havill</t>
  </si>
  <si>
    <t>Yoshiko Tamblingson</t>
  </si>
  <si>
    <t>Barri Teacy</t>
  </si>
  <si>
    <t>Alisha Bloschke</t>
  </si>
  <si>
    <t>Jerrilee Maginot</t>
  </si>
  <si>
    <t>Adi Seawright</t>
  </si>
  <si>
    <t>Eward Astlett</t>
  </si>
  <si>
    <t>Larissa Ingledow</t>
  </si>
  <si>
    <t>Jolynn Edkins</t>
  </si>
  <si>
    <t>Katey Cadany</t>
  </si>
  <si>
    <t>Nicole Blowfelde</t>
  </si>
  <si>
    <t>Kelley Rounds</t>
  </si>
  <si>
    <t>Felice McMurty</t>
  </si>
  <si>
    <t>Layton Kierans</t>
  </si>
  <si>
    <t>Hedwiga Ingarfield</t>
  </si>
  <si>
    <t>Frasquito Mosley</t>
  </si>
  <si>
    <t>Amandy Jope</t>
  </si>
  <si>
    <t>Tarrah Wordsworth</t>
  </si>
  <si>
    <t>Fairfax Wallsam</t>
  </si>
  <si>
    <t>Chelsea Itzak</t>
  </si>
  <si>
    <t>Craggie Whistlecraft</t>
  </si>
  <si>
    <t>Faina Durand</t>
  </si>
  <si>
    <t>Virginia McConville</t>
  </si>
  <si>
    <t>Candy Aindrais</t>
  </si>
  <si>
    <t>Allene Gobbet</t>
  </si>
  <si>
    <t>Ruthanne Beadnell</t>
  </si>
  <si>
    <t>Damien Netley</t>
  </si>
  <si>
    <t>Rasia Fryatt</t>
  </si>
  <si>
    <t>Bev Lashley</t>
  </si>
  <si>
    <t>Madge McCloughen</t>
  </si>
  <si>
    <t>Frasier Straw</t>
  </si>
  <si>
    <t>Dean Biggam</t>
  </si>
  <si>
    <t>Husein Augar</t>
  </si>
  <si>
    <t>Shaylyn Ransbury</t>
  </si>
  <si>
    <t>Christoph Stretton</t>
  </si>
  <si>
    <t>Jordain Cyster</t>
  </si>
  <si>
    <t>Malory Biles</t>
  </si>
  <si>
    <t>Adey Ryal</t>
  </si>
  <si>
    <t>Others</t>
  </si>
  <si>
    <t>Bonus</t>
  </si>
  <si>
    <t>Bonus percentage</t>
  </si>
  <si>
    <t>Total salary</t>
  </si>
  <si>
    <t>1. What is the gender distribution in the organization? Distil to regions and departments</t>
  </si>
  <si>
    <t>By location</t>
  </si>
  <si>
    <t>Row Labels</t>
  </si>
  <si>
    <t>Column Labels</t>
  </si>
  <si>
    <t>S/N</t>
  </si>
  <si>
    <t>By Department</t>
  </si>
  <si>
    <t>Distinct Count of S/N</t>
  </si>
  <si>
    <t>2. Ratings by Gender</t>
  </si>
  <si>
    <t>Sum of Salary</t>
  </si>
  <si>
    <t>Salary Category</t>
  </si>
  <si>
    <t>3. Salary by Gender</t>
  </si>
  <si>
    <t>80,000 - 90,000</t>
  </si>
  <si>
    <t>60,000 - 70,000</t>
  </si>
  <si>
    <t>50,000 - 60,000</t>
  </si>
  <si>
    <t>100,000 - 110,000</t>
  </si>
  <si>
    <t>40,000 - 50,000</t>
  </si>
  <si>
    <t>30,000 - 40,000</t>
  </si>
  <si>
    <t>110,000 - 120,000</t>
  </si>
  <si>
    <t>70,000 - 80,000</t>
  </si>
  <si>
    <t>20,000 - 30,000</t>
  </si>
  <si>
    <t>90,000 - 100,000</t>
  </si>
  <si>
    <t>4. Salary requirement</t>
  </si>
  <si>
    <t>1. Gender gap pay?</t>
  </si>
  <si>
    <t>Sum of Total salary</t>
  </si>
  <si>
    <t>Average of Salary</t>
  </si>
  <si>
    <t>Average of Total salary</t>
  </si>
  <si>
    <t>Bonuses by gender</t>
  </si>
  <si>
    <t>Sum of Bonus</t>
  </si>
  <si>
    <t>Average of Bonus</t>
  </si>
  <si>
    <t>Average of Bonus percentage</t>
  </si>
  <si>
    <t>Meet minimum by gender</t>
  </si>
  <si>
    <t>Meet minimun</t>
  </si>
  <si>
    <t>Total employees</t>
  </si>
  <si>
    <t>Total Departments</t>
  </si>
  <si>
    <t>Total regions</t>
  </si>
  <si>
    <t>Total bonus</t>
  </si>
  <si>
    <t>Average bonus</t>
  </si>
  <si>
    <t>Employees by gender</t>
  </si>
  <si>
    <t>Total salary (bonus inclusive)</t>
  </si>
  <si>
    <t>Distinct Count of Department</t>
  </si>
  <si>
    <t>Distinct Count of Location</t>
  </si>
  <si>
    <t xml:space="preserve"> </t>
  </si>
  <si>
    <t>Use gender as slicer</t>
  </si>
  <si>
    <t>Met minimum</t>
  </si>
  <si>
    <t>Not met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</si>
</sst>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69]\ #,##0.00"/>
    <numFmt numFmtId="165" formatCode="[$₦-469]\ #,##0"/>
  </numFmts>
  <fonts count="19" x14ac:knownFonts="1">
    <font>
      <sz val="11"/>
      <color theme="1"/>
      <name val="Times New Roman"/>
      <family val="2"/>
    </font>
    <font>
      <sz val="11"/>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1"/>
      <color rgb="FF006100"/>
      <name val="Times New Roman"/>
      <family val="2"/>
    </font>
    <font>
      <sz val="11"/>
      <color rgb="FF9C0006"/>
      <name val="Times New Roman"/>
      <family val="2"/>
    </font>
    <font>
      <sz val="11"/>
      <color rgb="FF9C5700"/>
      <name val="Times New Roman"/>
      <family val="2"/>
    </font>
    <font>
      <sz val="11"/>
      <color rgb="FF3F3F76"/>
      <name val="Times New Roman"/>
      <family val="2"/>
    </font>
    <font>
      <b/>
      <sz val="11"/>
      <color rgb="FF3F3F3F"/>
      <name val="Times New Roman"/>
      <family val="2"/>
    </font>
    <font>
      <b/>
      <sz val="11"/>
      <color rgb="FFFA7D00"/>
      <name val="Times New Roman"/>
      <family val="2"/>
    </font>
    <font>
      <sz val="11"/>
      <color rgb="FFFA7D00"/>
      <name val="Times New Roman"/>
      <family val="2"/>
    </font>
    <font>
      <b/>
      <sz val="11"/>
      <color theme="0"/>
      <name val="Times New Roman"/>
      <family val="2"/>
    </font>
    <font>
      <sz val="11"/>
      <color rgb="FFFF0000"/>
      <name val="Times New Roman"/>
      <family val="2"/>
    </font>
    <font>
      <i/>
      <sz val="11"/>
      <color rgb="FF7F7F7F"/>
      <name val="Times New Roman"/>
      <family val="2"/>
    </font>
    <font>
      <b/>
      <sz val="11"/>
      <color theme="1"/>
      <name val="Times New Roman"/>
      <family val="2"/>
    </font>
    <font>
      <sz val="11"/>
      <color theme="0"/>
      <name val="Times New Roman"/>
      <family val="2"/>
    </font>
    <font>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4">
    <xf numFmtId="0" fontId="0" fillId="0" borderId="0" xfId="0"/>
    <xf numFmtId="0" fontId="18" fillId="0" borderId="0" xfId="43"/>
    <xf numFmtId="0" fontId="18" fillId="0" borderId="0" xfId="43" applyAlignment="1">
      <alignment horizontal="right"/>
    </xf>
    <xf numFmtId="10" fontId="18" fillId="0" borderId="0" xfId="43" applyNumberFormat="1" applyAlignment="1">
      <alignment horizontal="right"/>
    </xf>
    <xf numFmtId="10" fontId="0" fillId="0" borderId="0" xfId="1" applyNumberFormat="1" applyFont="1"/>
    <xf numFmtId="10" fontId="0" fillId="0" borderId="0" xfId="0" applyNumberFormat="1"/>
    <xf numFmtId="0" fontId="0" fillId="0" borderId="0" xfId="0" pivotButton="1"/>
    <xf numFmtId="0" fontId="0" fillId="0" borderId="0" xfId="0" applyAlignment="1">
      <alignment horizontal="left"/>
    </xf>
    <xf numFmtId="1" fontId="0" fillId="0" borderId="0" xfId="0" applyNumberFormat="1"/>
    <xf numFmtId="49" fontId="0" fillId="0" borderId="0" xfId="0" applyNumberFormat="1"/>
    <xf numFmtId="164" fontId="0" fillId="0" borderId="0" xfId="0" applyNumberFormat="1"/>
    <xf numFmtId="165" fontId="0" fillId="0" borderId="0" xfId="0" applyNumberFormat="1"/>
    <xf numFmtId="0" fontId="0" fillId="33" borderId="0" xfId="0" applyFill="1"/>
    <xf numFmtId="0" fontId="0" fillId="34" borderId="0" xfId="0"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D52F7BB4-6191-48D6-9B4C-3BBA3A1021AA}"/>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6">
    <dxf>
      <numFmt numFmtId="164" formatCode="[$₦-469]\ #,##0.00"/>
    </dxf>
    <dxf>
      <numFmt numFmtId="164" formatCode="[$₦-469]\ #,##0.00"/>
    </dxf>
    <dxf>
      <numFmt numFmtId="14" formatCode="0.00%"/>
    </dxf>
    <dxf>
      <numFmt numFmtId="0" formatCode="General"/>
    </dxf>
    <dxf>
      <numFmt numFmtId="14" formatCode="0.00%"/>
    </dxf>
    <dxf>
      <numFmt numFmtId="30" formatCode="@"/>
    </dxf>
    <dxf>
      <numFmt numFmtId="30" formatCode="@"/>
    </dxf>
    <dxf>
      <numFmt numFmtId="164" formatCode="[$₦-469]\ #,##0.00"/>
    </dxf>
    <dxf>
      <numFmt numFmtId="164" formatCode="[$₦-469]\ #,##0.00"/>
    </dxf>
    <dxf>
      <numFmt numFmtId="165" formatCode="[$₦-469]\ #,##0"/>
    </dxf>
    <dxf>
      <numFmt numFmtId="30" formatCode="@"/>
    </dxf>
    <dxf>
      <numFmt numFmtId="30" formatCode="@"/>
    </dxf>
    <dxf>
      <numFmt numFmtId="30" formatCode="@"/>
    </dxf>
    <dxf>
      <numFmt numFmtId="30" formatCode="@"/>
    </dxf>
    <dxf>
      <numFmt numFmtId="1" formatCode="0"/>
    </dxf>
    <dxf>
      <numFmt numFmtId="14" formatCode="0.00%"/>
      <alignment horizontal="right" vertical="bottom" textRotation="0" wrapText="0" indent="0" justifyLastLine="0" shrinkToFit="0" readingOrder="0"/>
    </dxf>
    <dxf>
      <numFmt numFmtId="14" formatCode="0.00%"/>
      <alignment horizontal="right" vertical="bottom" textRotation="0" wrapText="0" indent="0" justifyLastLine="0" shrinkToFit="0" readingOrder="0"/>
    </dxf>
    <dxf>
      <numFmt numFmtId="14" formatCode="0.00%"/>
      <alignment horizontal="right" vertical="bottom" textRotation="0" wrapText="0" indent="0" justifyLastLine="0" shrinkToFit="0" readingOrder="0"/>
    </dxf>
    <dxf>
      <numFmt numFmtId="14" formatCode="0.00%"/>
      <alignment horizontal="right" vertical="bottom" textRotation="0" wrapText="0" indent="0" justifyLastLine="0" shrinkToFit="0" readingOrder="0"/>
    </dxf>
    <dxf>
      <numFmt numFmtId="14" formatCode="0.00%"/>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color theme="1"/>
      </font>
      <border diagonalUp="0" diagonalDown="0">
        <left/>
        <right/>
        <top/>
        <bottom/>
        <vertical/>
        <horizontal/>
      </border>
    </dxf>
    <dxf>
      <font>
        <color rgb="FF877666"/>
      </font>
      <fill>
        <patternFill>
          <bgColor rgb="FF877666"/>
        </patternFill>
      </fill>
      <border diagonalUp="0" diagonalDown="0">
        <left/>
        <right/>
        <top/>
        <bottom/>
        <vertical/>
        <horizontal/>
      </border>
    </dxf>
    <dxf>
      <font>
        <color theme="8" tint="0.59996337778862885"/>
      </font>
      <fill>
        <patternFill patternType="solid">
          <bgColor rgb="FF121F3A"/>
        </patternFill>
      </fill>
    </dxf>
    <dxf>
      <fill>
        <patternFill patternType="solid">
          <bgColor theme="4" tint="-0.499984740745262"/>
        </patternFill>
      </fill>
    </dxf>
  </dxfs>
  <tableStyles count="3" defaultTableStyle="TableStyleMedium2" defaultPivotStyle="PivotStyleLight16">
    <tableStyle name="Invisible" pivot="0" table="0" count="0" xr9:uid="{B7CC852A-AFE5-45BD-A182-9E854770F03C}"/>
    <tableStyle name="Slicer Style 1" pivot="0" table="0" count="6" xr9:uid="{826696D5-E92D-4096-87DB-3765E8AEE06A}">
      <tableStyleElement type="wholeTable" dxfId="25"/>
      <tableStyleElement type="headerRow" dxfId="24"/>
    </tableStyle>
    <tableStyle name="SlicerStyleLight4 2" pivot="0" table="0" count="10" xr9:uid="{1CD49C09-6E41-43E7-B728-3A90DB631B2D}">
      <tableStyleElement type="wholeTable" dxfId="23"/>
      <tableStyleElement type="headerRow" dxfId="22"/>
    </tableStyle>
  </tableStyles>
  <colors>
    <mruColors>
      <color rgb="FF203862"/>
      <color rgb="FF121F3A"/>
      <color rgb="FF7A5C58"/>
      <color rgb="FFF9DB6D"/>
      <color rgb="FF877666"/>
      <color rgb="FFF4EDED"/>
      <color rgb="FF464D77"/>
      <color rgb="FF36827F"/>
      <color rgb="FFCBB8A9"/>
      <color rgb="FF6F686D"/>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8" tint="0.59996337778862885"/>
          </font>
          <fill>
            <patternFill>
              <bgColor theme="4" tint="-0.499984740745262"/>
            </patternFill>
          </fill>
        </dxf>
        <dxf>
          <font>
            <color theme="8" tint="0.59996337778862885"/>
          </font>
          <fill>
            <patternFill>
              <bgColor theme="4" tint="-0.24994659260841701"/>
            </patternFill>
          </fill>
        </dxf>
        <dxf>
          <fill>
            <patternFill>
              <bgColor theme="1"/>
            </patternFill>
          </fill>
        </dxf>
        <dxf>
          <font>
            <color theme="8" tint="0.59996337778862885"/>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openxmlformats.org/officeDocument/2006/relationships/powerPivotData" Target="model/item.data"/><Relationship Id="rId21" Type="http://schemas.openxmlformats.org/officeDocument/2006/relationships/pivotCacheDefinition" Target="pivotCache/pivotCacheDefinition11.xml"/><Relationship Id="rId34" Type="http://schemas.microsoft.com/office/2007/relationships/slicerCache" Target="slicerCaches/slicerCache5.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microsoft.com/office/2007/relationships/slicerCache" Target="slicerCaches/slicerCache3.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microsoft.com/office/2007/relationships/slicerCache" Target="slicerCaches/slicerCache1.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4.xml"/><Relationship Id="rId38" Type="http://schemas.openxmlformats.org/officeDocument/2006/relationships/sharedStrings" Target="sharedStrings.xml"/><Relationship Id="rId46" Type="http://schemas.openxmlformats.org/officeDocument/2006/relationships/customXml" Target="../customXml/item6.xml"/><Relationship Id="rId20" Type="http://schemas.openxmlformats.org/officeDocument/2006/relationships/pivotCacheDefinition" Target="pivotCache/pivotCacheDefinition10.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1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400"/>
              <a:t>Distribution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Insights!$B$4:$B$5</c:f>
              <c:strCache>
                <c:ptCount val="1"/>
                <c:pt idx="0">
                  <c:v>Female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Insights!$B$6:$B$8</c:f>
              <c:numCache>
                <c:formatCode>General</c:formatCode>
                <c:ptCount val="3"/>
                <c:pt idx="0">
                  <c:v>144</c:v>
                </c:pt>
                <c:pt idx="1">
                  <c:v>151</c:v>
                </c:pt>
                <c:pt idx="2">
                  <c:v>111</c:v>
                </c:pt>
              </c:numCache>
            </c:numRef>
          </c:val>
          <c:extLst>
            <c:ext xmlns:c16="http://schemas.microsoft.com/office/drawing/2014/chart" uri="{C3380CC4-5D6E-409C-BE32-E72D297353CC}">
              <c16:uniqueId val="{00000000-6285-4CAB-AAB7-3544B042E19C}"/>
            </c:ext>
          </c:extLst>
        </c:ser>
        <c:ser>
          <c:idx val="1"/>
          <c:order val="1"/>
          <c:tx>
            <c:strRef>
              <c:f>Insights!$C$4:$C$5</c:f>
              <c:strCache>
                <c:ptCount val="1"/>
                <c:pt idx="0">
                  <c:v>Male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Insights!$C$6:$C$8</c:f>
              <c:numCache>
                <c:formatCode>General</c:formatCode>
                <c:ptCount val="3"/>
                <c:pt idx="0">
                  <c:v>144</c:v>
                </c:pt>
                <c:pt idx="1">
                  <c:v>172</c:v>
                </c:pt>
                <c:pt idx="2">
                  <c:v>114</c:v>
                </c:pt>
              </c:numCache>
            </c:numRef>
          </c:val>
          <c:extLst>
            <c:ext xmlns:c16="http://schemas.microsoft.com/office/drawing/2014/chart" uri="{C3380CC4-5D6E-409C-BE32-E72D297353CC}">
              <c16:uniqueId val="{00000005-539E-4282-830A-65C18E40D369}"/>
            </c:ext>
          </c:extLst>
        </c:ser>
        <c:ser>
          <c:idx val="2"/>
          <c:order val="2"/>
          <c:tx>
            <c:strRef>
              <c:f>Insights!$D$4:$D$5</c:f>
              <c:strCache>
                <c:ptCount val="1"/>
                <c:pt idx="0">
                  <c:v>Others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Insights!$D$6:$D$8</c:f>
              <c:numCache>
                <c:formatCode>General</c:formatCode>
                <c:ptCount val="3"/>
                <c:pt idx="0">
                  <c:v>16</c:v>
                </c:pt>
                <c:pt idx="1">
                  <c:v>14</c:v>
                </c:pt>
                <c:pt idx="2">
                  <c:v>8</c:v>
                </c:pt>
              </c:numCache>
            </c:numRef>
          </c:val>
          <c:extLst>
            <c:ext xmlns:c16="http://schemas.microsoft.com/office/drawing/2014/chart" uri="{C3380CC4-5D6E-409C-BE32-E72D297353CC}">
              <c16:uniqueId val="{00000006-539E-4282-830A-65C18E40D369}"/>
            </c:ext>
          </c:extLst>
        </c:ser>
        <c:dLbls>
          <c:dLblPos val="outEnd"/>
          <c:showLegendKey val="0"/>
          <c:showVal val="1"/>
          <c:showCatName val="0"/>
          <c:showSerName val="0"/>
          <c:showPercent val="0"/>
          <c:showBubbleSize val="0"/>
        </c:dLbls>
        <c:gapWidth val="219"/>
        <c:overlap val="-27"/>
        <c:axId val="1652117263"/>
        <c:axId val="1652126383"/>
      </c:barChart>
      <c:catAx>
        <c:axId val="1652117263"/>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2126383"/>
        <c:crosses val="autoZero"/>
        <c:auto val="1"/>
        <c:lblAlgn val="ctr"/>
        <c:lblOffset val="100"/>
        <c:noMultiLvlLbl val="0"/>
      </c:catAx>
      <c:valAx>
        <c:axId val="1652126383"/>
        <c:scaling>
          <c:orientation val="minMax"/>
        </c:scaling>
        <c:delete val="1"/>
        <c:axPos val="l"/>
        <c:numFmt formatCode="General" sourceLinked="1"/>
        <c:majorTickMark val="none"/>
        <c:minorTickMark val="none"/>
        <c:tickLblPos val="nextTo"/>
        <c:crossAx val="165211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20"/>
  </c:pivotSource>
  <c:chart>
    <c:title>
      <c:tx>
        <c:rich>
          <a:bodyPr rot="0" spcFirstLastPara="1" vertOverflow="ellipsis" vert="horz" wrap="square" anchor="ctr" anchorCtr="1"/>
          <a:lstStyle/>
          <a:p>
            <a:pPr>
              <a:defRPr lang="en-US"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400"/>
              <a:t>Distribution by Department</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Insights!$A$14:$A$25</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Insights!$B$14:$B$25</c:f>
              <c:numCache>
                <c:formatCode>General</c:formatCode>
                <c:ptCount val="12"/>
                <c:pt idx="0">
                  <c:v>65</c:v>
                </c:pt>
                <c:pt idx="1">
                  <c:v>74</c:v>
                </c:pt>
                <c:pt idx="2">
                  <c:v>75</c:v>
                </c:pt>
                <c:pt idx="3">
                  <c:v>73</c:v>
                </c:pt>
                <c:pt idx="4">
                  <c:v>80</c:v>
                </c:pt>
                <c:pt idx="5">
                  <c:v>63</c:v>
                </c:pt>
                <c:pt idx="6">
                  <c:v>80</c:v>
                </c:pt>
                <c:pt idx="7">
                  <c:v>65</c:v>
                </c:pt>
                <c:pt idx="8">
                  <c:v>75</c:v>
                </c:pt>
                <c:pt idx="9">
                  <c:v>77</c:v>
                </c:pt>
                <c:pt idx="10">
                  <c:v>75</c:v>
                </c:pt>
                <c:pt idx="11">
                  <c:v>72</c:v>
                </c:pt>
              </c:numCache>
            </c:numRef>
          </c:val>
          <c:extLst>
            <c:ext xmlns:c16="http://schemas.microsoft.com/office/drawing/2014/chart" uri="{C3380CC4-5D6E-409C-BE32-E72D297353CC}">
              <c16:uniqueId val="{00000000-0E14-4792-9016-C1280EFDBC49}"/>
            </c:ext>
          </c:extLst>
        </c:ser>
        <c:dLbls>
          <c:showLegendKey val="0"/>
          <c:showVal val="0"/>
          <c:showCatName val="0"/>
          <c:showSerName val="0"/>
          <c:showPercent val="0"/>
          <c:showBubbleSize val="0"/>
        </c:dLbls>
        <c:gapWidth val="219"/>
        <c:overlap val="-27"/>
        <c:axId val="1652115343"/>
        <c:axId val="1652105263"/>
      </c:barChart>
      <c:catAx>
        <c:axId val="1652115343"/>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2105263"/>
        <c:crosses val="autoZero"/>
        <c:auto val="1"/>
        <c:lblAlgn val="ctr"/>
        <c:lblOffset val="100"/>
        <c:noMultiLvlLbl val="0"/>
      </c:catAx>
      <c:valAx>
        <c:axId val="1652105263"/>
        <c:scaling>
          <c:orientation val="minMax"/>
        </c:scaling>
        <c:delete val="1"/>
        <c:axPos val="l"/>
        <c:numFmt formatCode="General" sourceLinked="1"/>
        <c:majorTickMark val="none"/>
        <c:minorTickMark val="none"/>
        <c:tickLblPos val="nextTo"/>
        <c:crossAx val="16521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dash.xlsx]Insights!p2</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sz="1400"/>
              <a:t>Ratings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Insights!$H$3:$H$4</c:f>
              <c:strCache>
                <c:ptCount val="1"/>
                <c:pt idx="0">
                  <c:v>Female</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Insights!$G$5:$G$10</c:f>
              <c:strCache>
                <c:ptCount val="6"/>
                <c:pt idx="0">
                  <c:v>Average</c:v>
                </c:pt>
                <c:pt idx="1">
                  <c:v>Good</c:v>
                </c:pt>
                <c:pt idx="2">
                  <c:v>Not Rated</c:v>
                </c:pt>
                <c:pt idx="3">
                  <c:v>Poor</c:v>
                </c:pt>
                <c:pt idx="4">
                  <c:v>Very Good</c:v>
                </c:pt>
                <c:pt idx="5">
                  <c:v>Very Poor</c:v>
                </c:pt>
              </c:strCache>
            </c:strRef>
          </c:cat>
          <c:val>
            <c:numRef>
              <c:f>Insights!$H$5:$H$10</c:f>
              <c:numCache>
                <c:formatCode>General</c:formatCode>
                <c:ptCount val="6"/>
                <c:pt idx="0">
                  <c:v>180</c:v>
                </c:pt>
                <c:pt idx="1">
                  <c:v>82</c:v>
                </c:pt>
                <c:pt idx="2">
                  <c:v>32</c:v>
                </c:pt>
                <c:pt idx="3">
                  <c:v>49</c:v>
                </c:pt>
                <c:pt idx="4">
                  <c:v>44</c:v>
                </c:pt>
                <c:pt idx="5">
                  <c:v>19</c:v>
                </c:pt>
              </c:numCache>
            </c:numRef>
          </c:val>
          <c:extLst>
            <c:ext xmlns:c16="http://schemas.microsoft.com/office/drawing/2014/chart" uri="{C3380CC4-5D6E-409C-BE32-E72D297353CC}">
              <c16:uniqueId val="{00000000-ADAE-4B90-8807-340E9752FA40}"/>
            </c:ext>
          </c:extLst>
        </c:ser>
        <c:ser>
          <c:idx val="1"/>
          <c:order val="1"/>
          <c:tx>
            <c:strRef>
              <c:f>Insights!$I$3:$I$4</c:f>
              <c:strCache>
                <c:ptCount val="1"/>
                <c:pt idx="0">
                  <c:v>Male</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Insights!$G$5:$G$10</c:f>
              <c:strCache>
                <c:ptCount val="6"/>
                <c:pt idx="0">
                  <c:v>Average</c:v>
                </c:pt>
                <c:pt idx="1">
                  <c:v>Good</c:v>
                </c:pt>
                <c:pt idx="2">
                  <c:v>Not Rated</c:v>
                </c:pt>
                <c:pt idx="3">
                  <c:v>Poor</c:v>
                </c:pt>
                <c:pt idx="4">
                  <c:v>Very Good</c:v>
                </c:pt>
                <c:pt idx="5">
                  <c:v>Very Poor</c:v>
                </c:pt>
              </c:strCache>
            </c:strRef>
          </c:cat>
          <c:val>
            <c:numRef>
              <c:f>Insights!$I$5:$I$10</c:f>
              <c:numCache>
                <c:formatCode>General</c:formatCode>
                <c:ptCount val="6"/>
                <c:pt idx="0">
                  <c:v>203</c:v>
                </c:pt>
                <c:pt idx="1">
                  <c:v>73</c:v>
                </c:pt>
                <c:pt idx="2">
                  <c:v>27</c:v>
                </c:pt>
                <c:pt idx="3">
                  <c:v>64</c:v>
                </c:pt>
                <c:pt idx="4">
                  <c:v>32</c:v>
                </c:pt>
                <c:pt idx="5">
                  <c:v>31</c:v>
                </c:pt>
              </c:numCache>
            </c:numRef>
          </c:val>
          <c:extLst>
            <c:ext xmlns:c16="http://schemas.microsoft.com/office/drawing/2014/chart" uri="{C3380CC4-5D6E-409C-BE32-E72D297353CC}">
              <c16:uniqueId val="{00000005-BD92-4385-93E5-853DD5549BB2}"/>
            </c:ext>
          </c:extLst>
        </c:ser>
        <c:ser>
          <c:idx val="2"/>
          <c:order val="2"/>
          <c:tx>
            <c:strRef>
              <c:f>Insights!$J$3:$J$4</c:f>
              <c:strCache>
                <c:ptCount val="1"/>
                <c:pt idx="0">
                  <c:v>Others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Insights!$G$5:$G$10</c:f>
              <c:strCache>
                <c:ptCount val="6"/>
                <c:pt idx="0">
                  <c:v>Average</c:v>
                </c:pt>
                <c:pt idx="1">
                  <c:v>Good</c:v>
                </c:pt>
                <c:pt idx="2">
                  <c:v>Not Rated</c:v>
                </c:pt>
                <c:pt idx="3">
                  <c:v>Poor</c:v>
                </c:pt>
                <c:pt idx="4">
                  <c:v>Very Good</c:v>
                </c:pt>
                <c:pt idx="5">
                  <c:v>Very Poor</c:v>
                </c:pt>
              </c:strCache>
            </c:strRef>
          </c:cat>
          <c:val>
            <c:numRef>
              <c:f>Insights!$J$5:$J$10</c:f>
              <c:numCache>
                <c:formatCode>General</c:formatCode>
                <c:ptCount val="6"/>
                <c:pt idx="0">
                  <c:v>17</c:v>
                </c:pt>
                <c:pt idx="1">
                  <c:v>8</c:v>
                </c:pt>
                <c:pt idx="2">
                  <c:v>2</c:v>
                </c:pt>
                <c:pt idx="3">
                  <c:v>3</c:v>
                </c:pt>
                <c:pt idx="4">
                  <c:v>5</c:v>
                </c:pt>
                <c:pt idx="5">
                  <c:v>3</c:v>
                </c:pt>
              </c:numCache>
            </c:numRef>
          </c:val>
          <c:extLst>
            <c:ext xmlns:c16="http://schemas.microsoft.com/office/drawing/2014/chart" uri="{C3380CC4-5D6E-409C-BE32-E72D297353CC}">
              <c16:uniqueId val="{00000006-BD92-4385-93E5-853DD5549BB2}"/>
            </c:ext>
          </c:extLst>
        </c:ser>
        <c:dLbls>
          <c:dLblPos val="outEnd"/>
          <c:showLegendKey val="0"/>
          <c:showVal val="1"/>
          <c:showCatName val="0"/>
          <c:showSerName val="0"/>
          <c:showPercent val="0"/>
          <c:showBubbleSize val="0"/>
        </c:dLbls>
        <c:gapWidth val="182"/>
        <c:axId val="1652218063"/>
        <c:axId val="1652207983"/>
      </c:barChart>
      <c:catAx>
        <c:axId val="1652218063"/>
        <c:scaling>
          <c:orientation val="minMax"/>
        </c:scaling>
        <c:delete val="0"/>
        <c:axPos val="l"/>
        <c:numFmt formatCode="General" sourceLinked="1"/>
        <c:majorTickMark val="none"/>
        <c:minorTickMark val="none"/>
        <c:tickLblPos val="nextTo"/>
        <c:spPr>
          <a:no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2207983"/>
        <c:crosses val="autoZero"/>
        <c:auto val="1"/>
        <c:lblAlgn val="ctr"/>
        <c:lblOffset val="100"/>
        <c:noMultiLvlLbl val="0"/>
      </c:catAx>
      <c:valAx>
        <c:axId val="165220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22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dash.xlsx]Insights!pp</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r>
              <a:rPr lang="en-US"/>
              <a:t>Departmental Avg Earnings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1341876799814"/>
          <c:y val="0.19653944020356234"/>
          <c:w val="0.748475671310317"/>
          <c:h val="0.45576926929935285"/>
        </c:manualLayout>
      </c:layout>
      <c:barChart>
        <c:barDir val="col"/>
        <c:grouping val="clustered"/>
        <c:varyColors val="0"/>
        <c:ser>
          <c:idx val="0"/>
          <c:order val="0"/>
          <c:tx>
            <c:strRef>
              <c:f>Insights!$H$16:$H$17</c:f>
              <c:strCache>
                <c:ptCount val="1"/>
                <c:pt idx="0">
                  <c:v>Female</c:v>
                </c:pt>
              </c:strCache>
            </c:strRef>
          </c:tx>
          <c:spPr>
            <a:solidFill>
              <a:schemeClr val="accent5">
                <a:lumMod val="75000"/>
              </a:schemeClr>
            </a:solidFill>
            <a:ln>
              <a:noFill/>
            </a:ln>
            <a:effectLst/>
          </c:spPr>
          <c:invertIfNegative val="0"/>
          <c:cat>
            <c:strRef>
              <c:f>Insights!$G$18:$G$29</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Insights!$H$18:$H$29</c:f>
              <c:numCache>
                <c:formatCode>General</c:formatCode>
                <c:ptCount val="12"/>
                <c:pt idx="0">
                  <c:v>72814.444444444438</c:v>
                </c:pt>
                <c:pt idx="1">
                  <c:v>74667.105263157893</c:v>
                </c:pt>
                <c:pt idx="2">
                  <c:v>74867.71428571429</c:v>
                </c:pt>
                <c:pt idx="3">
                  <c:v>67061.621621621627</c:v>
                </c:pt>
                <c:pt idx="4">
                  <c:v>69904.0625</c:v>
                </c:pt>
                <c:pt idx="5">
                  <c:v>79107.741935483864</c:v>
                </c:pt>
                <c:pt idx="6">
                  <c:v>71557.948717948719</c:v>
                </c:pt>
                <c:pt idx="7">
                  <c:v>67887.8125</c:v>
                </c:pt>
                <c:pt idx="8">
                  <c:v>70144.375</c:v>
                </c:pt>
                <c:pt idx="9">
                  <c:v>74160.512820512828</c:v>
                </c:pt>
                <c:pt idx="10">
                  <c:v>71585.666666666672</c:v>
                </c:pt>
                <c:pt idx="11">
                  <c:v>77578.823529411762</c:v>
                </c:pt>
              </c:numCache>
            </c:numRef>
          </c:val>
          <c:extLst>
            <c:ext xmlns:c16="http://schemas.microsoft.com/office/drawing/2014/chart" uri="{C3380CC4-5D6E-409C-BE32-E72D297353CC}">
              <c16:uniqueId val="{00000000-B842-4B66-AC43-6AF0ACD28DD9}"/>
            </c:ext>
          </c:extLst>
        </c:ser>
        <c:ser>
          <c:idx val="1"/>
          <c:order val="1"/>
          <c:tx>
            <c:strRef>
              <c:f>Insights!$I$16:$I$17</c:f>
              <c:strCache>
                <c:ptCount val="1"/>
                <c:pt idx="0">
                  <c:v>Male</c:v>
                </c:pt>
              </c:strCache>
            </c:strRef>
          </c:tx>
          <c:spPr>
            <a:solidFill>
              <a:schemeClr val="accent1">
                <a:lumMod val="50000"/>
              </a:schemeClr>
            </a:solidFill>
            <a:ln>
              <a:noFill/>
            </a:ln>
            <a:effectLst/>
          </c:spPr>
          <c:invertIfNegative val="0"/>
          <c:cat>
            <c:strRef>
              <c:f>Insights!$G$18:$G$29</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Insights!$I$18:$I$29</c:f>
              <c:numCache>
                <c:formatCode>General</c:formatCode>
                <c:ptCount val="12"/>
                <c:pt idx="0">
                  <c:v>76726.388888888891</c:v>
                </c:pt>
                <c:pt idx="1">
                  <c:v>80595.757575757569</c:v>
                </c:pt>
                <c:pt idx="2">
                  <c:v>68096.857142857145</c:v>
                </c:pt>
                <c:pt idx="3">
                  <c:v>74344.84848484848</c:v>
                </c:pt>
                <c:pt idx="4">
                  <c:v>73832.272727272721</c:v>
                </c:pt>
                <c:pt idx="5">
                  <c:v>73242.258064516136</c:v>
                </c:pt>
                <c:pt idx="6">
                  <c:v>73483.75</c:v>
                </c:pt>
                <c:pt idx="7">
                  <c:v>70337.5</c:v>
                </c:pt>
                <c:pt idx="8">
                  <c:v>71287.179487179485</c:v>
                </c:pt>
                <c:pt idx="9">
                  <c:v>80379.142857142855</c:v>
                </c:pt>
                <c:pt idx="10">
                  <c:v>77054.14634146342</c:v>
                </c:pt>
                <c:pt idx="11">
                  <c:v>74247.428571428565</c:v>
                </c:pt>
              </c:numCache>
            </c:numRef>
          </c:val>
          <c:extLst>
            <c:ext xmlns:c16="http://schemas.microsoft.com/office/drawing/2014/chart" uri="{C3380CC4-5D6E-409C-BE32-E72D297353CC}">
              <c16:uniqueId val="{00000008-B842-4B66-AC43-6AF0ACD28DD9}"/>
            </c:ext>
          </c:extLst>
        </c:ser>
        <c:ser>
          <c:idx val="2"/>
          <c:order val="2"/>
          <c:tx>
            <c:strRef>
              <c:f>Insights!$J$16:$J$17</c:f>
              <c:strCache>
                <c:ptCount val="1"/>
                <c:pt idx="0">
                  <c:v>Others</c:v>
                </c:pt>
              </c:strCache>
            </c:strRef>
          </c:tx>
          <c:spPr>
            <a:solidFill>
              <a:schemeClr val="tx1">
                <a:lumMod val="50000"/>
                <a:lumOff val="50000"/>
              </a:schemeClr>
            </a:solidFill>
            <a:ln>
              <a:noFill/>
            </a:ln>
            <a:effectLst/>
          </c:spPr>
          <c:invertIfNegative val="0"/>
          <c:cat>
            <c:strRef>
              <c:f>Insights!$G$18:$G$29</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Insights!$J$18:$J$29</c:f>
              <c:numCache>
                <c:formatCode>General</c:formatCode>
                <c:ptCount val="12"/>
                <c:pt idx="0">
                  <c:v>102560</c:v>
                </c:pt>
                <c:pt idx="1">
                  <c:v>49956.666666666664</c:v>
                </c:pt>
                <c:pt idx="2">
                  <c:v>78626</c:v>
                </c:pt>
                <c:pt idx="3">
                  <c:v>94283.333333333328</c:v>
                </c:pt>
                <c:pt idx="4">
                  <c:v>81875</c:v>
                </c:pt>
                <c:pt idx="5">
                  <c:v>105870</c:v>
                </c:pt>
                <c:pt idx="6">
                  <c:v>36480</c:v>
                </c:pt>
                <c:pt idx="7">
                  <c:v>78614</c:v>
                </c:pt>
                <c:pt idx="8">
                  <c:v>89125</c:v>
                </c:pt>
                <c:pt idx="9">
                  <c:v>67066.666666666672</c:v>
                </c:pt>
                <c:pt idx="10">
                  <c:v>76225</c:v>
                </c:pt>
                <c:pt idx="11">
                  <c:v>84943.333333333328</c:v>
                </c:pt>
              </c:numCache>
            </c:numRef>
          </c:val>
          <c:extLst>
            <c:ext xmlns:c16="http://schemas.microsoft.com/office/drawing/2014/chart" uri="{C3380CC4-5D6E-409C-BE32-E72D297353CC}">
              <c16:uniqueId val="{00000009-B842-4B66-AC43-6AF0ACD28DD9}"/>
            </c:ext>
          </c:extLst>
        </c:ser>
        <c:dLbls>
          <c:showLegendKey val="0"/>
          <c:showVal val="0"/>
          <c:showCatName val="0"/>
          <c:showSerName val="0"/>
          <c:showPercent val="0"/>
          <c:showBubbleSize val="0"/>
        </c:dLbls>
        <c:gapWidth val="219"/>
        <c:overlap val="-27"/>
        <c:axId val="1600756287"/>
        <c:axId val="1600754847"/>
      </c:barChart>
      <c:catAx>
        <c:axId val="1600756287"/>
        <c:scaling>
          <c:orientation val="minMax"/>
        </c:scaling>
        <c:delete val="0"/>
        <c:axPos val="b"/>
        <c:numFmt formatCode="General" sourceLinked="1"/>
        <c:majorTickMark val="none"/>
        <c:minorTickMark val="none"/>
        <c:tickLblPos val="nextTo"/>
        <c:spPr>
          <a:no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00754847"/>
        <c:crosses val="autoZero"/>
        <c:auto val="1"/>
        <c:lblAlgn val="ctr"/>
        <c:lblOffset val="100"/>
        <c:noMultiLvlLbl val="0"/>
      </c:catAx>
      <c:valAx>
        <c:axId val="1600754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00756287"/>
        <c:crosses val="autoZero"/>
        <c:crossBetween val="between"/>
      </c:valAx>
      <c:spPr>
        <a:noFill/>
        <a:ln w="25400">
          <a:noFill/>
        </a:ln>
        <a:effectLst/>
      </c:spPr>
    </c:plotArea>
    <c:legend>
      <c:legendPos val="r"/>
      <c:layout>
        <c:manualLayout>
          <c:xMode val="edge"/>
          <c:yMode val="edge"/>
          <c:x val="0.87348720073958364"/>
          <c:y val="0.39839514335517218"/>
          <c:w val="0.12381374392978206"/>
          <c:h val="0.2725226903888922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Insights!$B$4:$B$5</c:f>
              <c:strCache>
                <c:ptCount val="1"/>
                <c:pt idx="0">
                  <c:v>Female</c:v>
                </c:pt>
              </c:strCache>
            </c:strRef>
          </c:tx>
          <c:spPr>
            <a:solidFill>
              <a:schemeClr val="accent1"/>
            </a:solidFill>
            <a:ln>
              <a:noFill/>
            </a:ln>
            <a:effectLst/>
          </c:spPr>
          <c:invertIfNegative val="0"/>
          <c:cat>
            <c:strRef>
              <c:f>Insights!$A$6:$A$8</c:f>
              <c:strCache>
                <c:ptCount val="3"/>
                <c:pt idx="0">
                  <c:v>Abuja</c:v>
                </c:pt>
                <c:pt idx="1">
                  <c:v>Kaduna</c:v>
                </c:pt>
                <c:pt idx="2">
                  <c:v>Lagos</c:v>
                </c:pt>
              </c:strCache>
            </c:strRef>
          </c:cat>
          <c:val>
            <c:numRef>
              <c:f>Insights!$B$6:$B$8</c:f>
              <c:numCache>
                <c:formatCode>General</c:formatCode>
                <c:ptCount val="3"/>
                <c:pt idx="0">
                  <c:v>144</c:v>
                </c:pt>
                <c:pt idx="1">
                  <c:v>151</c:v>
                </c:pt>
                <c:pt idx="2">
                  <c:v>111</c:v>
                </c:pt>
              </c:numCache>
            </c:numRef>
          </c:val>
          <c:extLst>
            <c:ext xmlns:c16="http://schemas.microsoft.com/office/drawing/2014/chart" uri="{C3380CC4-5D6E-409C-BE32-E72D297353CC}">
              <c16:uniqueId val="{00000000-A9DA-4080-816B-4004B03A1292}"/>
            </c:ext>
          </c:extLst>
        </c:ser>
        <c:ser>
          <c:idx val="1"/>
          <c:order val="1"/>
          <c:tx>
            <c:strRef>
              <c:f>Insights!$C$4:$C$5</c:f>
              <c:strCache>
                <c:ptCount val="1"/>
                <c:pt idx="0">
                  <c:v>Male</c:v>
                </c:pt>
              </c:strCache>
            </c:strRef>
          </c:tx>
          <c:spPr>
            <a:solidFill>
              <a:schemeClr val="accent2"/>
            </a:solidFill>
            <a:ln>
              <a:noFill/>
            </a:ln>
            <a:effectLst/>
          </c:spPr>
          <c:invertIfNegative val="0"/>
          <c:cat>
            <c:strRef>
              <c:f>Insights!$A$6:$A$8</c:f>
              <c:strCache>
                <c:ptCount val="3"/>
                <c:pt idx="0">
                  <c:v>Abuja</c:v>
                </c:pt>
                <c:pt idx="1">
                  <c:v>Kaduna</c:v>
                </c:pt>
                <c:pt idx="2">
                  <c:v>Lagos</c:v>
                </c:pt>
              </c:strCache>
            </c:strRef>
          </c:cat>
          <c:val>
            <c:numRef>
              <c:f>Insights!$C$6:$C$8</c:f>
              <c:numCache>
                <c:formatCode>General</c:formatCode>
                <c:ptCount val="3"/>
                <c:pt idx="0">
                  <c:v>144</c:v>
                </c:pt>
                <c:pt idx="1">
                  <c:v>172</c:v>
                </c:pt>
                <c:pt idx="2">
                  <c:v>114</c:v>
                </c:pt>
              </c:numCache>
            </c:numRef>
          </c:val>
          <c:extLst>
            <c:ext xmlns:c16="http://schemas.microsoft.com/office/drawing/2014/chart" uri="{C3380CC4-5D6E-409C-BE32-E72D297353CC}">
              <c16:uniqueId val="{00000004-DA69-4BF5-9EFA-A9422E210417}"/>
            </c:ext>
          </c:extLst>
        </c:ser>
        <c:ser>
          <c:idx val="2"/>
          <c:order val="2"/>
          <c:tx>
            <c:strRef>
              <c:f>Insights!$D$4:$D$5</c:f>
              <c:strCache>
                <c:ptCount val="1"/>
                <c:pt idx="0">
                  <c:v>Others</c:v>
                </c:pt>
              </c:strCache>
            </c:strRef>
          </c:tx>
          <c:spPr>
            <a:solidFill>
              <a:schemeClr val="accent3"/>
            </a:solidFill>
            <a:ln>
              <a:noFill/>
            </a:ln>
            <a:effectLst/>
          </c:spPr>
          <c:invertIfNegative val="0"/>
          <c:cat>
            <c:strRef>
              <c:f>Insights!$A$6:$A$8</c:f>
              <c:strCache>
                <c:ptCount val="3"/>
                <c:pt idx="0">
                  <c:v>Abuja</c:v>
                </c:pt>
                <c:pt idx="1">
                  <c:v>Kaduna</c:v>
                </c:pt>
                <c:pt idx="2">
                  <c:v>Lagos</c:v>
                </c:pt>
              </c:strCache>
            </c:strRef>
          </c:cat>
          <c:val>
            <c:numRef>
              <c:f>Insights!$D$6:$D$8</c:f>
              <c:numCache>
                <c:formatCode>General</c:formatCode>
                <c:ptCount val="3"/>
                <c:pt idx="0">
                  <c:v>16</c:v>
                </c:pt>
                <c:pt idx="1">
                  <c:v>14</c:v>
                </c:pt>
                <c:pt idx="2">
                  <c:v>8</c:v>
                </c:pt>
              </c:numCache>
            </c:numRef>
          </c:val>
          <c:extLst>
            <c:ext xmlns:c16="http://schemas.microsoft.com/office/drawing/2014/chart" uri="{C3380CC4-5D6E-409C-BE32-E72D297353CC}">
              <c16:uniqueId val="{00000005-DA69-4BF5-9EFA-A9422E210417}"/>
            </c:ext>
          </c:extLst>
        </c:ser>
        <c:dLbls>
          <c:showLegendKey val="0"/>
          <c:showVal val="0"/>
          <c:showCatName val="0"/>
          <c:showSerName val="0"/>
          <c:showPercent val="0"/>
          <c:showBubbleSize val="0"/>
        </c:dLbls>
        <c:gapWidth val="219"/>
        <c:overlap val="-27"/>
        <c:axId val="1652117263"/>
        <c:axId val="1652126383"/>
      </c:barChart>
      <c:catAx>
        <c:axId val="165211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26383"/>
        <c:crosses val="autoZero"/>
        <c:auto val="1"/>
        <c:lblAlgn val="ctr"/>
        <c:lblOffset val="100"/>
        <c:noMultiLvlLbl val="0"/>
      </c:catAx>
      <c:valAx>
        <c:axId val="165212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1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Insights!$B$13</c:f>
              <c:strCache>
                <c:ptCount val="1"/>
                <c:pt idx="0">
                  <c:v>Total</c:v>
                </c:pt>
              </c:strCache>
            </c:strRef>
          </c:tx>
          <c:spPr>
            <a:solidFill>
              <a:schemeClr val="accent1"/>
            </a:solidFill>
            <a:ln>
              <a:noFill/>
            </a:ln>
            <a:effectLst/>
          </c:spPr>
          <c:invertIfNegative val="0"/>
          <c:cat>
            <c:strRef>
              <c:f>Insights!$A$14:$A$25</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Insights!$B$14:$B$25</c:f>
              <c:numCache>
                <c:formatCode>General</c:formatCode>
                <c:ptCount val="12"/>
                <c:pt idx="0">
                  <c:v>65</c:v>
                </c:pt>
                <c:pt idx="1">
                  <c:v>74</c:v>
                </c:pt>
                <c:pt idx="2">
                  <c:v>75</c:v>
                </c:pt>
                <c:pt idx="3">
                  <c:v>73</c:v>
                </c:pt>
                <c:pt idx="4">
                  <c:v>80</c:v>
                </c:pt>
                <c:pt idx="5">
                  <c:v>63</c:v>
                </c:pt>
                <c:pt idx="6">
                  <c:v>80</c:v>
                </c:pt>
                <c:pt idx="7">
                  <c:v>65</c:v>
                </c:pt>
                <c:pt idx="8">
                  <c:v>75</c:v>
                </c:pt>
                <c:pt idx="9">
                  <c:v>77</c:v>
                </c:pt>
                <c:pt idx="10">
                  <c:v>75</c:v>
                </c:pt>
                <c:pt idx="11">
                  <c:v>72</c:v>
                </c:pt>
              </c:numCache>
            </c:numRef>
          </c:val>
          <c:extLst>
            <c:ext xmlns:c16="http://schemas.microsoft.com/office/drawing/2014/chart" uri="{C3380CC4-5D6E-409C-BE32-E72D297353CC}">
              <c16:uniqueId val="{00000000-B5BC-4B26-807B-14394EB8C551}"/>
            </c:ext>
          </c:extLst>
        </c:ser>
        <c:dLbls>
          <c:showLegendKey val="0"/>
          <c:showVal val="0"/>
          <c:showCatName val="0"/>
          <c:showSerName val="0"/>
          <c:showPercent val="0"/>
          <c:showBubbleSize val="0"/>
        </c:dLbls>
        <c:gapWidth val="219"/>
        <c:overlap val="-27"/>
        <c:axId val="1652115343"/>
        <c:axId val="1652105263"/>
      </c:barChart>
      <c:catAx>
        <c:axId val="16521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05263"/>
        <c:crosses val="autoZero"/>
        <c:auto val="1"/>
        <c:lblAlgn val="ctr"/>
        <c:lblOffset val="100"/>
        <c:noMultiLvlLbl val="0"/>
      </c:catAx>
      <c:valAx>
        <c:axId val="165210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1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Insights!$H$3:$H$4</c:f>
              <c:strCache>
                <c:ptCount val="1"/>
                <c:pt idx="0">
                  <c:v>Female</c:v>
                </c:pt>
              </c:strCache>
            </c:strRef>
          </c:tx>
          <c:spPr>
            <a:solidFill>
              <a:schemeClr val="accent1"/>
            </a:solidFill>
            <a:ln>
              <a:noFill/>
            </a:ln>
            <a:effectLst/>
          </c:spPr>
          <c:invertIfNegative val="0"/>
          <c:cat>
            <c:strRef>
              <c:f>Insights!$G$5:$G$10</c:f>
              <c:strCache>
                <c:ptCount val="6"/>
                <c:pt idx="0">
                  <c:v>Average</c:v>
                </c:pt>
                <c:pt idx="1">
                  <c:v>Good</c:v>
                </c:pt>
                <c:pt idx="2">
                  <c:v>Not Rated</c:v>
                </c:pt>
                <c:pt idx="3">
                  <c:v>Poor</c:v>
                </c:pt>
                <c:pt idx="4">
                  <c:v>Very Good</c:v>
                </c:pt>
                <c:pt idx="5">
                  <c:v>Very Poor</c:v>
                </c:pt>
              </c:strCache>
            </c:strRef>
          </c:cat>
          <c:val>
            <c:numRef>
              <c:f>Insights!$H$5:$H$10</c:f>
              <c:numCache>
                <c:formatCode>General</c:formatCode>
                <c:ptCount val="6"/>
                <c:pt idx="0">
                  <c:v>180</c:v>
                </c:pt>
                <c:pt idx="1">
                  <c:v>82</c:v>
                </c:pt>
                <c:pt idx="2">
                  <c:v>32</c:v>
                </c:pt>
                <c:pt idx="3">
                  <c:v>49</c:v>
                </c:pt>
                <c:pt idx="4">
                  <c:v>44</c:v>
                </c:pt>
                <c:pt idx="5">
                  <c:v>19</c:v>
                </c:pt>
              </c:numCache>
            </c:numRef>
          </c:val>
          <c:extLst>
            <c:ext xmlns:c16="http://schemas.microsoft.com/office/drawing/2014/chart" uri="{C3380CC4-5D6E-409C-BE32-E72D297353CC}">
              <c16:uniqueId val="{00000000-23E8-4487-9C2D-F0F3017EB95B}"/>
            </c:ext>
          </c:extLst>
        </c:ser>
        <c:ser>
          <c:idx val="1"/>
          <c:order val="1"/>
          <c:tx>
            <c:strRef>
              <c:f>Insights!$I$3:$I$4</c:f>
              <c:strCache>
                <c:ptCount val="1"/>
                <c:pt idx="0">
                  <c:v>Male</c:v>
                </c:pt>
              </c:strCache>
            </c:strRef>
          </c:tx>
          <c:spPr>
            <a:solidFill>
              <a:schemeClr val="accent2"/>
            </a:solidFill>
            <a:ln>
              <a:noFill/>
            </a:ln>
            <a:effectLst/>
          </c:spPr>
          <c:invertIfNegative val="0"/>
          <c:cat>
            <c:strRef>
              <c:f>Insights!$G$5:$G$10</c:f>
              <c:strCache>
                <c:ptCount val="6"/>
                <c:pt idx="0">
                  <c:v>Average</c:v>
                </c:pt>
                <c:pt idx="1">
                  <c:v>Good</c:v>
                </c:pt>
                <c:pt idx="2">
                  <c:v>Not Rated</c:v>
                </c:pt>
                <c:pt idx="3">
                  <c:v>Poor</c:v>
                </c:pt>
                <c:pt idx="4">
                  <c:v>Very Good</c:v>
                </c:pt>
                <c:pt idx="5">
                  <c:v>Very Poor</c:v>
                </c:pt>
              </c:strCache>
            </c:strRef>
          </c:cat>
          <c:val>
            <c:numRef>
              <c:f>Insights!$I$5:$I$10</c:f>
              <c:numCache>
                <c:formatCode>General</c:formatCode>
                <c:ptCount val="6"/>
                <c:pt idx="0">
                  <c:v>203</c:v>
                </c:pt>
                <c:pt idx="1">
                  <c:v>73</c:v>
                </c:pt>
                <c:pt idx="2">
                  <c:v>27</c:v>
                </c:pt>
                <c:pt idx="3">
                  <c:v>64</c:v>
                </c:pt>
                <c:pt idx="4">
                  <c:v>32</c:v>
                </c:pt>
                <c:pt idx="5">
                  <c:v>31</c:v>
                </c:pt>
              </c:numCache>
            </c:numRef>
          </c:val>
          <c:extLst>
            <c:ext xmlns:c16="http://schemas.microsoft.com/office/drawing/2014/chart" uri="{C3380CC4-5D6E-409C-BE32-E72D297353CC}">
              <c16:uniqueId val="{00000004-CE17-4C0A-9480-EE9FB5FD5836}"/>
            </c:ext>
          </c:extLst>
        </c:ser>
        <c:ser>
          <c:idx val="2"/>
          <c:order val="2"/>
          <c:tx>
            <c:strRef>
              <c:f>Insights!$J$3:$J$4</c:f>
              <c:strCache>
                <c:ptCount val="1"/>
                <c:pt idx="0">
                  <c:v>Others</c:v>
                </c:pt>
              </c:strCache>
            </c:strRef>
          </c:tx>
          <c:spPr>
            <a:solidFill>
              <a:schemeClr val="accent3"/>
            </a:solidFill>
            <a:ln>
              <a:noFill/>
            </a:ln>
            <a:effectLst/>
          </c:spPr>
          <c:invertIfNegative val="0"/>
          <c:cat>
            <c:strRef>
              <c:f>Insights!$G$5:$G$10</c:f>
              <c:strCache>
                <c:ptCount val="6"/>
                <c:pt idx="0">
                  <c:v>Average</c:v>
                </c:pt>
                <c:pt idx="1">
                  <c:v>Good</c:v>
                </c:pt>
                <c:pt idx="2">
                  <c:v>Not Rated</c:v>
                </c:pt>
                <c:pt idx="3">
                  <c:v>Poor</c:v>
                </c:pt>
                <c:pt idx="4">
                  <c:v>Very Good</c:v>
                </c:pt>
                <c:pt idx="5">
                  <c:v>Very Poor</c:v>
                </c:pt>
              </c:strCache>
            </c:strRef>
          </c:cat>
          <c:val>
            <c:numRef>
              <c:f>Insights!$J$5:$J$10</c:f>
              <c:numCache>
                <c:formatCode>General</c:formatCode>
                <c:ptCount val="6"/>
                <c:pt idx="0">
                  <c:v>17</c:v>
                </c:pt>
                <c:pt idx="1">
                  <c:v>8</c:v>
                </c:pt>
                <c:pt idx="2">
                  <c:v>2</c:v>
                </c:pt>
                <c:pt idx="3">
                  <c:v>3</c:v>
                </c:pt>
                <c:pt idx="4">
                  <c:v>5</c:v>
                </c:pt>
                <c:pt idx="5">
                  <c:v>3</c:v>
                </c:pt>
              </c:numCache>
            </c:numRef>
          </c:val>
          <c:extLst>
            <c:ext xmlns:c16="http://schemas.microsoft.com/office/drawing/2014/chart" uri="{C3380CC4-5D6E-409C-BE32-E72D297353CC}">
              <c16:uniqueId val="{00000005-CE17-4C0A-9480-EE9FB5FD5836}"/>
            </c:ext>
          </c:extLst>
        </c:ser>
        <c:dLbls>
          <c:showLegendKey val="0"/>
          <c:showVal val="0"/>
          <c:showCatName val="0"/>
          <c:showSerName val="0"/>
          <c:showPercent val="0"/>
          <c:showBubbleSize val="0"/>
        </c:dLbls>
        <c:gapWidth val="182"/>
        <c:axId val="1652218063"/>
        <c:axId val="1652207983"/>
      </c:barChart>
      <c:catAx>
        <c:axId val="165221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07983"/>
        <c:crosses val="autoZero"/>
        <c:auto val="1"/>
        <c:lblAlgn val="ctr"/>
        <c:lblOffset val="100"/>
        <c:noMultiLvlLbl val="0"/>
      </c:catAx>
      <c:valAx>
        <c:axId val="165220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1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dash.xlsx]Insights!pp</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Insights!$H$16:$H$17</c:f>
              <c:strCache>
                <c:ptCount val="1"/>
                <c:pt idx="0">
                  <c:v>Female</c:v>
                </c:pt>
              </c:strCache>
            </c:strRef>
          </c:tx>
          <c:spPr>
            <a:solidFill>
              <a:schemeClr val="accent1"/>
            </a:solidFill>
            <a:ln>
              <a:noFill/>
            </a:ln>
            <a:effectLst/>
          </c:spPr>
          <c:invertIfNegative val="0"/>
          <c:cat>
            <c:strRef>
              <c:f>Insights!$G$18:$G$29</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Insights!$H$18:$H$29</c:f>
              <c:numCache>
                <c:formatCode>General</c:formatCode>
                <c:ptCount val="12"/>
                <c:pt idx="0">
                  <c:v>72814.444444444438</c:v>
                </c:pt>
                <c:pt idx="1">
                  <c:v>74667.105263157893</c:v>
                </c:pt>
                <c:pt idx="2">
                  <c:v>74867.71428571429</c:v>
                </c:pt>
                <c:pt idx="3">
                  <c:v>67061.621621621627</c:v>
                </c:pt>
                <c:pt idx="4">
                  <c:v>69904.0625</c:v>
                </c:pt>
                <c:pt idx="5">
                  <c:v>79107.741935483864</c:v>
                </c:pt>
                <c:pt idx="6">
                  <c:v>71557.948717948719</c:v>
                </c:pt>
                <c:pt idx="7">
                  <c:v>67887.8125</c:v>
                </c:pt>
                <c:pt idx="8">
                  <c:v>70144.375</c:v>
                </c:pt>
                <c:pt idx="9">
                  <c:v>74160.512820512828</c:v>
                </c:pt>
                <c:pt idx="10">
                  <c:v>71585.666666666672</c:v>
                </c:pt>
                <c:pt idx="11">
                  <c:v>77578.823529411762</c:v>
                </c:pt>
              </c:numCache>
            </c:numRef>
          </c:val>
          <c:extLst>
            <c:ext xmlns:c16="http://schemas.microsoft.com/office/drawing/2014/chart" uri="{C3380CC4-5D6E-409C-BE32-E72D297353CC}">
              <c16:uniqueId val="{00000000-DAB7-4CA5-88BB-24616CF04EDB}"/>
            </c:ext>
          </c:extLst>
        </c:ser>
        <c:ser>
          <c:idx val="1"/>
          <c:order val="1"/>
          <c:tx>
            <c:strRef>
              <c:f>Insights!$I$16:$I$17</c:f>
              <c:strCache>
                <c:ptCount val="1"/>
                <c:pt idx="0">
                  <c:v>Male</c:v>
                </c:pt>
              </c:strCache>
            </c:strRef>
          </c:tx>
          <c:spPr>
            <a:solidFill>
              <a:schemeClr val="accent2"/>
            </a:solidFill>
            <a:ln>
              <a:noFill/>
            </a:ln>
            <a:effectLst/>
          </c:spPr>
          <c:invertIfNegative val="0"/>
          <c:cat>
            <c:strRef>
              <c:f>Insights!$G$18:$G$29</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Insights!$I$18:$I$29</c:f>
              <c:numCache>
                <c:formatCode>General</c:formatCode>
                <c:ptCount val="12"/>
                <c:pt idx="0">
                  <c:v>76726.388888888891</c:v>
                </c:pt>
                <c:pt idx="1">
                  <c:v>80595.757575757569</c:v>
                </c:pt>
                <c:pt idx="2">
                  <c:v>68096.857142857145</c:v>
                </c:pt>
                <c:pt idx="3">
                  <c:v>74344.84848484848</c:v>
                </c:pt>
                <c:pt idx="4">
                  <c:v>73832.272727272721</c:v>
                </c:pt>
                <c:pt idx="5">
                  <c:v>73242.258064516136</c:v>
                </c:pt>
                <c:pt idx="6">
                  <c:v>73483.75</c:v>
                </c:pt>
                <c:pt idx="7">
                  <c:v>70337.5</c:v>
                </c:pt>
                <c:pt idx="8">
                  <c:v>71287.179487179485</c:v>
                </c:pt>
                <c:pt idx="9">
                  <c:v>80379.142857142855</c:v>
                </c:pt>
                <c:pt idx="10">
                  <c:v>77054.14634146342</c:v>
                </c:pt>
                <c:pt idx="11">
                  <c:v>74247.428571428565</c:v>
                </c:pt>
              </c:numCache>
            </c:numRef>
          </c:val>
          <c:extLst>
            <c:ext xmlns:c16="http://schemas.microsoft.com/office/drawing/2014/chart" uri="{C3380CC4-5D6E-409C-BE32-E72D297353CC}">
              <c16:uniqueId val="{00000005-A984-4945-B71A-8CF2F1ED8A07}"/>
            </c:ext>
          </c:extLst>
        </c:ser>
        <c:ser>
          <c:idx val="2"/>
          <c:order val="2"/>
          <c:tx>
            <c:strRef>
              <c:f>Insights!$J$16:$J$17</c:f>
              <c:strCache>
                <c:ptCount val="1"/>
                <c:pt idx="0">
                  <c:v>Others</c:v>
                </c:pt>
              </c:strCache>
            </c:strRef>
          </c:tx>
          <c:spPr>
            <a:solidFill>
              <a:schemeClr val="accent3"/>
            </a:solidFill>
            <a:ln>
              <a:noFill/>
            </a:ln>
            <a:effectLst/>
          </c:spPr>
          <c:invertIfNegative val="0"/>
          <c:cat>
            <c:strRef>
              <c:f>Insights!$G$18:$G$29</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Insights!$J$18:$J$29</c:f>
              <c:numCache>
                <c:formatCode>General</c:formatCode>
                <c:ptCount val="12"/>
                <c:pt idx="0">
                  <c:v>102560</c:v>
                </c:pt>
                <c:pt idx="1">
                  <c:v>49956.666666666664</c:v>
                </c:pt>
                <c:pt idx="2">
                  <c:v>78626</c:v>
                </c:pt>
                <c:pt idx="3">
                  <c:v>94283.333333333328</c:v>
                </c:pt>
                <c:pt idx="4">
                  <c:v>81875</c:v>
                </c:pt>
                <c:pt idx="5">
                  <c:v>105870</c:v>
                </c:pt>
                <c:pt idx="6">
                  <c:v>36480</c:v>
                </c:pt>
                <c:pt idx="7">
                  <c:v>78614</c:v>
                </c:pt>
                <c:pt idx="8">
                  <c:v>89125</c:v>
                </c:pt>
                <c:pt idx="9">
                  <c:v>67066.666666666672</c:v>
                </c:pt>
                <c:pt idx="10">
                  <c:v>76225</c:v>
                </c:pt>
                <c:pt idx="11">
                  <c:v>84943.333333333328</c:v>
                </c:pt>
              </c:numCache>
            </c:numRef>
          </c:val>
          <c:extLst>
            <c:ext xmlns:c16="http://schemas.microsoft.com/office/drawing/2014/chart" uri="{C3380CC4-5D6E-409C-BE32-E72D297353CC}">
              <c16:uniqueId val="{00000006-A984-4945-B71A-8CF2F1ED8A07}"/>
            </c:ext>
          </c:extLst>
        </c:ser>
        <c:dLbls>
          <c:showLegendKey val="0"/>
          <c:showVal val="0"/>
          <c:showCatName val="0"/>
          <c:showSerName val="0"/>
          <c:showPercent val="0"/>
          <c:showBubbleSize val="0"/>
        </c:dLbls>
        <c:gapWidth val="219"/>
        <c:overlap val="-27"/>
        <c:axId val="1600756287"/>
        <c:axId val="1600754847"/>
      </c:barChart>
      <c:catAx>
        <c:axId val="16007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54847"/>
        <c:crosses val="autoZero"/>
        <c:auto val="1"/>
        <c:lblAlgn val="ctr"/>
        <c:lblOffset val="100"/>
        <c:noMultiLvlLbl val="0"/>
      </c:catAx>
      <c:valAx>
        <c:axId val="16007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8"/>
  </c:pivotSource>
  <c:chart>
    <c:title>
      <c:tx>
        <c:rich>
          <a:bodyPr rot="0" spcFirstLastPara="1" vertOverflow="ellipsis" vert="horz" wrap="square" anchor="ctr" anchorCtr="1"/>
          <a:lstStyle/>
          <a:p>
            <a:pPr>
              <a:defRPr sz="1100" b="0" i="0" u="none" strike="noStrike" kern="1200" spc="0" baseline="0">
                <a:solidFill>
                  <a:schemeClr val="accent5"/>
                </a:solidFill>
                <a:latin typeface="+mn-lt"/>
                <a:ea typeface="+mn-ea"/>
                <a:cs typeface="+mn-cs"/>
              </a:defRPr>
            </a:pPr>
            <a:r>
              <a:rPr lang="en-US" sz="1100">
                <a:solidFill>
                  <a:schemeClr val="accent5"/>
                </a:solidFill>
              </a:rPr>
              <a:t>Employee by Region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accent5"/>
              </a:solidFill>
              <a:latin typeface="+mn-lt"/>
              <a:ea typeface="+mn-ea"/>
              <a:cs typeface="+mn-cs"/>
            </a:defRPr>
          </a:pPr>
          <a:endParaRPr lang="en-US"/>
        </a:p>
      </c:txPr>
    </c:title>
    <c:autoTitleDeleted val="0"/>
    <c:pivotFmts>
      <c:pivotFmt>
        <c:idx val="0"/>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Insights!$B$4:$B$5</c:f>
              <c:strCache>
                <c:ptCount val="1"/>
                <c:pt idx="0">
                  <c:v>Female</c:v>
                </c:pt>
              </c:strCache>
            </c:strRef>
          </c:tx>
          <c:spPr>
            <a:solidFill>
              <a:srgbClr val="FF3B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Insights!$B$6:$B$8</c:f>
              <c:numCache>
                <c:formatCode>General</c:formatCode>
                <c:ptCount val="3"/>
                <c:pt idx="0">
                  <c:v>144</c:v>
                </c:pt>
                <c:pt idx="1">
                  <c:v>151</c:v>
                </c:pt>
                <c:pt idx="2">
                  <c:v>111</c:v>
                </c:pt>
              </c:numCache>
            </c:numRef>
          </c:val>
          <c:extLst>
            <c:ext xmlns:c16="http://schemas.microsoft.com/office/drawing/2014/chart" uri="{C3380CC4-5D6E-409C-BE32-E72D297353CC}">
              <c16:uniqueId val="{00000000-FF21-4FA8-A653-EB3657B3EB3A}"/>
            </c:ext>
          </c:extLst>
        </c:ser>
        <c:ser>
          <c:idx val="1"/>
          <c:order val="1"/>
          <c:tx>
            <c:strRef>
              <c:f>Insights!$C$4:$C$5</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Insights!$C$6:$C$8</c:f>
              <c:numCache>
                <c:formatCode>General</c:formatCode>
                <c:ptCount val="3"/>
                <c:pt idx="0">
                  <c:v>144</c:v>
                </c:pt>
                <c:pt idx="1">
                  <c:v>172</c:v>
                </c:pt>
                <c:pt idx="2">
                  <c:v>114</c:v>
                </c:pt>
              </c:numCache>
            </c:numRef>
          </c:val>
          <c:extLst>
            <c:ext xmlns:c16="http://schemas.microsoft.com/office/drawing/2014/chart" uri="{C3380CC4-5D6E-409C-BE32-E72D297353CC}">
              <c16:uniqueId val="{00000005-1578-49F3-BEB7-20F277DF4037}"/>
            </c:ext>
          </c:extLst>
        </c:ser>
        <c:ser>
          <c:idx val="2"/>
          <c:order val="2"/>
          <c:tx>
            <c:strRef>
              <c:f>Insights!$D$4:$D$5</c:f>
              <c:strCache>
                <c:ptCount val="1"/>
                <c:pt idx="0">
                  <c:v>Others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Insights!$D$6:$D$8</c:f>
              <c:numCache>
                <c:formatCode>General</c:formatCode>
                <c:ptCount val="3"/>
                <c:pt idx="0">
                  <c:v>16</c:v>
                </c:pt>
                <c:pt idx="1">
                  <c:v>14</c:v>
                </c:pt>
                <c:pt idx="2">
                  <c:v>8</c:v>
                </c:pt>
              </c:numCache>
            </c:numRef>
          </c:val>
          <c:extLst>
            <c:ext xmlns:c16="http://schemas.microsoft.com/office/drawing/2014/chart" uri="{C3380CC4-5D6E-409C-BE32-E72D297353CC}">
              <c16:uniqueId val="{00000006-1578-49F3-BEB7-20F277DF4037}"/>
            </c:ext>
          </c:extLst>
        </c:ser>
        <c:dLbls>
          <c:dLblPos val="outEnd"/>
          <c:showLegendKey val="0"/>
          <c:showVal val="1"/>
          <c:showCatName val="0"/>
          <c:showSerName val="0"/>
          <c:showPercent val="0"/>
          <c:showBubbleSize val="0"/>
        </c:dLbls>
        <c:gapWidth val="219"/>
        <c:overlap val="-27"/>
        <c:axId val="610443679"/>
        <c:axId val="610444159"/>
      </c:barChart>
      <c:catAx>
        <c:axId val="610443679"/>
        <c:scaling>
          <c:orientation val="minMax"/>
        </c:scaling>
        <c:delete val="0"/>
        <c:axPos val="b"/>
        <c:numFmt formatCode="General" sourceLinked="1"/>
        <c:majorTickMark val="none"/>
        <c:minorTickMark val="none"/>
        <c:tickLblPos val="nextTo"/>
        <c:spPr>
          <a:noFill/>
          <a:ln w="9525" cap="flat" cmpd="sng" algn="ctr">
            <a:solidFill>
              <a:schemeClr val="accent5"/>
            </a:solidFill>
            <a:round/>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610444159"/>
        <c:crosses val="autoZero"/>
        <c:auto val="1"/>
        <c:lblAlgn val="ctr"/>
        <c:lblOffset val="100"/>
        <c:noMultiLvlLbl val="0"/>
      </c:catAx>
      <c:valAx>
        <c:axId val="610444159"/>
        <c:scaling>
          <c:orientation val="minMax"/>
        </c:scaling>
        <c:delete val="1"/>
        <c:axPos val="l"/>
        <c:numFmt formatCode="General" sourceLinked="1"/>
        <c:majorTickMark val="none"/>
        <c:minorTickMark val="none"/>
        <c:tickLblPos val="nextTo"/>
        <c:crossAx val="61044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dash.xlsx]Sheet3!p3</c:name>
    <c:fmtId val="10"/>
  </c:pivotSource>
  <c:chart>
    <c:title>
      <c:tx>
        <c:rich>
          <a:bodyPr rot="0" spcFirstLastPara="1" vertOverflow="ellipsis" vert="horz" wrap="square" anchor="ctr" anchorCtr="1"/>
          <a:lstStyle/>
          <a:p>
            <a:pPr>
              <a:defRPr sz="1100" b="0" i="0" u="none" strike="noStrike" kern="1200" spc="0" baseline="0">
                <a:solidFill>
                  <a:schemeClr val="accent5"/>
                </a:solidFill>
                <a:latin typeface="+mn-lt"/>
                <a:ea typeface="+mn-ea"/>
                <a:cs typeface="+mn-cs"/>
              </a:defRPr>
            </a:pPr>
            <a:r>
              <a:rPr lang="en-US" sz="1100">
                <a:solidFill>
                  <a:schemeClr val="accent5"/>
                </a:solidFill>
              </a:rPr>
              <a:t>Employees by Salary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7.25909261342321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239664928030468E-16"/>
              <c:y val="1.2861333509781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Sheet3!$Y$14:$Y$15</c:f>
              <c:strCache>
                <c:ptCount val="1"/>
                <c:pt idx="0">
                  <c:v>Female</c:v>
                </c:pt>
              </c:strCache>
            </c:strRef>
          </c:tx>
          <c:spPr>
            <a:solidFill>
              <a:srgbClr val="FF3B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Sheet3!$X$16:$X$20</c:f>
              <c:strCache>
                <c:ptCount val="5"/>
                <c:pt idx="0">
                  <c:v>100,000 - 110,000</c:v>
                </c:pt>
                <c:pt idx="1">
                  <c:v>30,000 - 40,000</c:v>
                </c:pt>
                <c:pt idx="2">
                  <c:v>40,000 - 50,000</c:v>
                </c:pt>
                <c:pt idx="3">
                  <c:v>70,000 - 80,000</c:v>
                </c:pt>
                <c:pt idx="4">
                  <c:v>80,000 - 90,000</c:v>
                </c:pt>
              </c:strCache>
            </c:strRef>
          </c:cat>
          <c:val>
            <c:numRef>
              <c:f>Sheet3!$Y$16:$Y$20</c:f>
              <c:numCache>
                <c:formatCode>General</c:formatCode>
                <c:ptCount val="5"/>
                <c:pt idx="0">
                  <c:v>44</c:v>
                </c:pt>
                <c:pt idx="1">
                  <c:v>54</c:v>
                </c:pt>
                <c:pt idx="2">
                  <c:v>46</c:v>
                </c:pt>
                <c:pt idx="3">
                  <c:v>50</c:v>
                </c:pt>
                <c:pt idx="4">
                  <c:v>51</c:v>
                </c:pt>
              </c:numCache>
            </c:numRef>
          </c:val>
          <c:extLst>
            <c:ext xmlns:c16="http://schemas.microsoft.com/office/drawing/2014/chart" uri="{C3380CC4-5D6E-409C-BE32-E72D297353CC}">
              <c16:uniqueId val="{00000000-ECB4-41E8-987D-BCE065403A2E}"/>
            </c:ext>
          </c:extLst>
        </c:ser>
        <c:ser>
          <c:idx val="1"/>
          <c:order val="1"/>
          <c:tx>
            <c:strRef>
              <c:f>Sheet3!$Z$14:$Z$15</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Sheet3!$X$16:$X$20</c:f>
              <c:strCache>
                <c:ptCount val="5"/>
                <c:pt idx="0">
                  <c:v>100,000 - 110,000</c:v>
                </c:pt>
                <c:pt idx="1">
                  <c:v>30,000 - 40,000</c:v>
                </c:pt>
                <c:pt idx="2">
                  <c:v>40,000 - 50,000</c:v>
                </c:pt>
                <c:pt idx="3">
                  <c:v>70,000 - 80,000</c:v>
                </c:pt>
                <c:pt idx="4">
                  <c:v>80,000 - 90,000</c:v>
                </c:pt>
              </c:strCache>
            </c:strRef>
          </c:cat>
          <c:val>
            <c:numRef>
              <c:f>Sheet3!$Z$16:$Z$20</c:f>
              <c:numCache>
                <c:formatCode>General</c:formatCode>
                <c:ptCount val="5"/>
                <c:pt idx="0">
                  <c:v>47</c:v>
                </c:pt>
                <c:pt idx="1">
                  <c:v>40</c:v>
                </c:pt>
                <c:pt idx="2">
                  <c:v>46</c:v>
                </c:pt>
                <c:pt idx="3">
                  <c:v>52</c:v>
                </c:pt>
                <c:pt idx="4">
                  <c:v>42</c:v>
                </c:pt>
              </c:numCache>
            </c:numRef>
          </c:val>
          <c:extLst>
            <c:ext xmlns:c16="http://schemas.microsoft.com/office/drawing/2014/chart" uri="{C3380CC4-5D6E-409C-BE32-E72D297353CC}">
              <c16:uniqueId val="{00000007-5160-44B1-B7A6-BCF76CE66952}"/>
            </c:ext>
          </c:extLst>
        </c:ser>
        <c:ser>
          <c:idx val="2"/>
          <c:order val="2"/>
          <c:tx>
            <c:strRef>
              <c:f>Sheet3!$AA$14:$AA$15</c:f>
              <c:strCache>
                <c:ptCount val="1"/>
                <c:pt idx="0">
                  <c:v>Others</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0-2E8B-4363-BEE5-4C21A48D87F9}"/>
              </c:ext>
            </c:extLst>
          </c:dPt>
          <c:dPt>
            <c:idx val="3"/>
            <c:invertIfNegative val="0"/>
            <c:bubble3D val="0"/>
            <c:extLst>
              <c:ext xmlns:c16="http://schemas.microsoft.com/office/drawing/2014/chart" uri="{C3380CC4-5D6E-409C-BE32-E72D297353CC}">
                <c16:uniqueId val="{00000001-2E8B-4363-BEE5-4C21A48D87F9}"/>
              </c:ext>
            </c:extLst>
          </c:dPt>
          <c:dLbls>
            <c:dLbl>
              <c:idx val="0"/>
              <c:layout>
                <c:manualLayout>
                  <c:x val="0"/>
                  <c:y val="7.25909261342321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8B-4363-BEE5-4C21A48D87F9}"/>
                </c:ext>
              </c:extLst>
            </c:dLbl>
            <c:dLbl>
              <c:idx val="3"/>
              <c:layout>
                <c:manualLayout>
                  <c:x val="-1.239664928030468E-16"/>
                  <c:y val="1.28613335097818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8B-4363-BEE5-4C21A48D87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Sheet3!$X$16:$X$20</c:f>
              <c:strCache>
                <c:ptCount val="5"/>
                <c:pt idx="0">
                  <c:v>100,000 - 110,000</c:v>
                </c:pt>
                <c:pt idx="1">
                  <c:v>30,000 - 40,000</c:v>
                </c:pt>
                <c:pt idx="2">
                  <c:v>40,000 - 50,000</c:v>
                </c:pt>
                <c:pt idx="3">
                  <c:v>70,000 - 80,000</c:v>
                </c:pt>
                <c:pt idx="4">
                  <c:v>80,000 - 90,000</c:v>
                </c:pt>
              </c:strCache>
            </c:strRef>
          </c:cat>
          <c:val>
            <c:numRef>
              <c:f>Sheet3!$AA$16:$AA$20</c:f>
              <c:numCache>
                <c:formatCode>General</c:formatCode>
                <c:ptCount val="5"/>
                <c:pt idx="0">
                  <c:v>7</c:v>
                </c:pt>
                <c:pt idx="1">
                  <c:v>2</c:v>
                </c:pt>
                <c:pt idx="2">
                  <c:v>2</c:v>
                </c:pt>
                <c:pt idx="3">
                  <c:v>7</c:v>
                </c:pt>
                <c:pt idx="4">
                  <c:v>3</c:v>
                </c:pt>
              </c:numCache>
            </c:numRef>
          </c:val>
          <c:extLst>
            <c:ext xmlns:c16="http://schemas.microsoft.com/office/drawing/2014/chart" uri="{C3380CC4-5D6E-409C-BE32-E72D297353CC}">
              <c16:uniqueId val="{00000008-5160-44B1-B7A6-BCF76CE66952}"/>
            </c:ext>
          </c:extLst>
        </c:ser>
        <c:dLbls>
          <c:showLegendKey val="0"/>
          <c:showVal val="0"/>
          <c:showCatName val="0"/>
          <c:showSerName val="0"/>
          <c:showPercent val="0"/>
          <c:showBubbleSize val="0"/>
        </c:dLbls>
        <c:gapWidth val="219"/>
        <c:axId val="610437919"/>
        <c:axId val="610441279"/>
      </c:barChart>
      <c:catAx>
        <c:axId val="610437919"/>
        <c:scaling>
          <c:orientation val="minMax"/>
        </c:scaling>
        <c:delete val="0"/>
        <c:axPos val="b"/>
        <c:numFmt formatCode="General" sourceLinked="1"/>
        <c:majorTickMark val="none"/>
        <c:minorTickMark val="none"/>
        <c:tickLblPos val="nextTo"/>
        <c:spPr>
          <a:noFill/>
          <a:ln w="9525" cap="flat" cmpd="sng" algn="ctr">
            <a:solidFill>
              <a:schemeClr val="accent5"/>
            </a:solidFill>
            <a:round/>
          </a:ln>
          <a:effectLst/>
        </c:spPr>
        <c:txPr>
          <a:bodyPr rot="-60000000" spcFirstLastPara="1" vertOverflow="ellipsis" vert="horz" wrap="square" anchor="ctr" anchorCtr="1"/>
          <a:lstStyle/>
          <a:p>
            <a:pPr>
              <a:defRPr sz="800" b="0" i="0" u="none" strike="noStrike" kern="1200" baseline="0">
                <a:solidFill>
                  <a:schemeClr val="accent5"/>
                </a:solidFill>
                <a:latin typeface="+mn-lt"/>
                <a:ea typeface="+mn-ea"/>
                <a:cs typeface="+mn-cs"/>
              </a:defRPr>
            </a:pPr>
            <a:endParaRPr lang="en-US"/>
          </a:p>
        </c:txPr>
        <c:crossAx val="610441279"/>
        <c:crosses val="autoZero"/>
        <c:auto val="1"/>
        <c:lblAlgn val="ctr"/>
        <c:lblOffset val="100"/>
        <c:noMultiLvlLbl val="0"/>
      </c:catAx>
      <c:valAx>
        <c:axId val="610441279"/>
        <c:scaling>
          <c:orientation val="minMax"/>
        </c:scaling>
        <c:delete val="1"/>
        <c:axPos val="l"/>
        <c:numFmt formatCode="General" sourceLinked="1"/>
        <c:majorTickMark val="none"/>
        <c:minorTickMark val="none"/>
        <c:tickLblPos val="nextTo"/>
        <c:crossAx val="6104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8"/>
  </c:pivotSource>
  <c:chart>
    <c:title>
      <c:tx>
        <c:rich>
          <a:bodyPr rot="0" spcFirstLastPara="1" vertOverflow="ellipsis" vert="horz" wrap="square" anchor="ctr" anchorCtr="1"/>
          <a:lstStyle/>
          <a:p>
            <a:pPr>
              <a:defRPr sz="1100" b="0" i="0" u="none" strike="noStrike" kern="1200" spc="0" baseline="0">
                <a:solidFill>
                  <a:schemeClr val="accent5"/>
                </a:solidFill>
                <a:latin typeface="+mn-lt"/>
                <a:ea typeface="+mn-ea"/>
                <a:cs typeface="+mn-cs"/>
              </a:defRPr>
            </a:pPr>
            <a:r>
              <a:rPr lang="en-US" sz="1100">
                <a:solidFill>
                  <a:schemeClr val="accent5"/>
                </a:solidFill>
              </a:rPr>
              <a:t>Employee by Department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9.803921568627331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B8A"/>
          </a:solidFill>
          <a:ln>
            <a:noFill/>
          </a:ln>
          <a:effectLst/>
        </c:spPr>
        <c:dLbl>
          <c:idx val="0"/>
          <c:layout>
            <c:manualLayout>
              <c:x val="-9.803921568627450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Insights!$A$14:$A$25</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Insights!$B$14:$B$25</c:f>
              <c:numCache>
                <c:formatCode>General</c:formatCode>
                <c:ptCount val="12"/>
                <c:pt idx="0">
                  <c:v>65</c:v>
                </c:pt>
                <c:pt idx="1">
                  <c:v>74</c:v>
                </c:pt>
                <c:pt idx="2">
                  <c:v>75</c:v>
                </c:pt>
                <c:pt idx="3">
                  <c:v>73</c:v>
                </c:pt>
                <c:pt idx="4">
                  <c:v>80</c:v>
                </c:pt>
                <c:pt idx="5">
                  <c:v>63</c:v>
                </c:pt>
                <c:pt idx="6">
                  <c:v>80</c:v>
                </c:pt>
                <c:pt idx="7">
                  <c:v>65</c:v>
                </c:pt>
                <c:pt idx="8">
                  <c:v>75</c:v>
                </c:pt>
                <c:pt idx="9">
                  <c:v>77</c:v>
                </c:pt>
                <c:pt idx="10">
                  <c:v>75</c:v>
                </c:pt>
                <c:pt idx="11">
                  <c:v>72</c:v>
                </c:pt>
              </c:numCache>
            </c:numRef>
          </c:val>
          <c:extLst>
            <c:ext xmlns:c16="http://schemas.microsoft.com/office/drawing/2014/chart" uri="{C3380CC4-5D6E-409C-BE32-E72D297353CC}">
              <c16:uniqueId val="{00000000-B74E-468D-999E-F726F2FFD3FD}"/>
            </c:ext>
          </c:extLst>
        </c:ser>
        <c:dLbls>
          <c:dLblPos val="outEnd"/>
          <c:showLegendKey val="0"/>
          <c:showVal val="1"/>
          <c:showCatName val="0"/>
          <c:showSerName val="0"/>
          <c:showPercent val="0"/>
          <c:showBubbleSize val="0"/>
        </c:dLbls>
        <c:gapWidth val="219"/>
        <c:overlap val="-27"/>
        <c:axId val="644894207"/>
        <c:axId val="644908607"/>
      </c:barChart>
      <c:catAx>
        <c:axId val="644894207"/>
        <c:scaling>
          <c:orientation val="minMax"/>
        </c:scaling>
        <c:delete val="0"/>
        <c:axPos val="b"/>
        <c:numFmt formatCode="General" sourceLinked="1"/>
        <c:majorTickMark val="none"/>
        <c:minorTickMark val="none"/>
        <c:tickLblPos val="nextTo"/>
        <c:spPr>
          <a:noFill/>
          <a:ln w="9525" cap="flat" cmpd="sng" algn="ctr">
            <a:solidFill>
              <a:schemeClr val="accent5"/>
            </a:solidFill>
            <a:round/>
          </a:ln>
          <a:effectLst/>
        </c:spPr>
        <c:txPr>
          <a:bodyPr rot="-60000000" spcFirstLastPara="1" vertOverflow="ellipsis" vert="horz" wrap="square" anchor="ctr" anchorCtr="1"/>
          <a:lstStyle/>
          <a:p>
            <a:pPr>
              <a:defRPr sz="800" b="0" i="0" u="none" strike="noStrike" kern="1200" baseline="0">
                <a:solidFill>
                  <a:schemeClr val="accent5"/>
                </a:solidFill>
                <a:latin typeface="+mn-lt"/>
                <a:ea typeface="+mn-ea"/>
                <a:cs typeface="+mn-cs"/>
              </a:defRPr>
            </a:pPr>
            <a:endParaRPr lang="en-US"/>
          </a:p>
        </c:txPr>
        <c:crossAx val="644908607"/>
        <c:crosses val="autoZero"/>
        <c:auto val="1"/>
        <c:lblAlgn val="ctr"/>
        <c:lblOffset val="100"/>
        <c:noMultiLvlLbl val="0"/>
      </c:catAx>
      <c:valAx>
        <c:axId val="644908607"/>
        <c:scaling>
          <c:orientation val="minMax"/>
        </c:scaling>
        <c:delete val="1"/>
        <c:axPos val="l"/>
        <c:numFmt formatCode="General" sourceLinked="1"/>
        <c:majorTickMark val="none"/>
        <c:minorTickMark val="none"/>
        <c:tickLblPos val="nextTo"/>
        <c:crossAx val="64489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dash.xlsx]Sheet3!p5</c:name>
    <c:fmtId val="2"/>
  </c:pivotSource>
  <c:chart>
    <c:title>
      <c:tx>
        <c:rich>
          <a:bodyPr rot="0" spcFirstLastPara="1" vertOverflow="ellipsis" vert="horz" wrap="square" anchor="ctr" anchorCtr="1"/>
          <a:lstStyle/>
          <a:p>
            <a:pPr>
              <a:defRPr sz="1050" b="0" i="0" u="none" strike="noStrike" kern="1200" spc="0" baseline="0">
                <a:solidFill>
                  <a:schemeClr val="accent5"/>
                </a:solidFill>
                <a:latin typeface="+mn-lt"/>
                <a:ea typeface="+mn-ea"/>
                <a:cs typeface="+mn-cs"/>
              </a:defRPr>
            </a:pPr>
            <a:r>
              <a:rPr lang="en-US" sz="1050">
                <a:solidFill>
                  <a:schemeClr val="accent5"/>
                </a:solidFill>
              </a:rPr>
              <a:t>Employees by Minimum salary requirement</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accent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Sheet3!$Y$1:$Y$2</c:f>
              <c:strCache>
                <c:ptCount val="1"/>
                <c:pt idx="0">
                  <c:v>Female</c:v>
                </c:pt>
              </c:strCache>
            </c:strRef>
          </c:tx>
          <c:spPr>
            <a:solidFill>
              <a:srgbClr val="FF3B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Sheet3!$X$3:$X$4</c:f>
              <c:strCache>
                <c:ptCount val="2"/>
                <c:pt idx="0">
                  <c:v>Met minimum</c:v>
                </c:pt>
                <c:pt idx="1">
                  <c:v>Not met minimum</c:v>
                </c:pt>
              </c:strCache>
            </c:strRef>
          </c:cat>
          <c:val>
            <c:numRef>
              <c:f>Sheet3!$Y$3:$Y$4</c:f>
              <c:numCache>
                <c:formatCode>General</c:formatCode>
                <c:ptCount val="2"/>
                <c:pt idx="0">
                  <c:v>121</c:v>
                </c:pt>
                <c:pt idx="1">
                  <c:v>285</c:v>
                </c:pt>
              </c:numCache>
            </c:numRef>
          </c:val>
          <c:extLst>
            <c:ext xmlns:c16="http://schemas.microsoft.com/office/drawing/2014/chart" uri="{C3380CC4-5D6E-409C-BE32-E72D297353CC}">
              <c16:uniqueId val="{00000004-1CF7-463E-B221-04CC559D0656}"/>
            </c:ext>
          </c:extLst>
        </c:ser>
        <c:ser>
          <c:idx val="1"/>
          <c:order val="1"/>
          <c:tx>
            <c:strRef>
              <c:f>Sheet3!$Z$1:$Z$2</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Sheet3!$X$3:$X$4</c:f>
              <c:strCache>
                <c:ptCount val="2"/>
                <c:pt idx="0">
                  <c:v>Met minimum</c:v>
                </c:pt>
                <c:pt idx="1">
                  <c:v>Not met minimum</c:v>
                </c:pt>
              </c:strCache>
            </c:strRef>
          </c:cat>
          <c:val>
            <c:numRef>
              <c:f>Sheet3!$Z$3:$Z$4</c:f>
              <c:numCache>
                <c:formatCode>General</c:formatCode>
                <c:ptCount val="2"/>
                <c:pt idx="0">
                  <c:v>140</c:v>
                </c:pt>
                <c:pt idx="1">
                  <c:v>290</c:v>
                </c:pt>
              </c:numCache>
            </c:numRef>
          </c:val>
          <c:extLst>
            <c:ext xmlns:c16="http://schemas.microsoft.com/office/drawing/2014/chart" uri="{C3380CC4-5D6E-409C-BE32-E72D297353CC}">
              <c16:uniqueId val="{00000005-4551-4CC9-9744-42D8AE3F3C5E}"/>
            </c:ext>
          </c:extLst>
        </c:ser>
        <c:ser>
          <c:idx val="2"/>
          <c:order val="2"/>
          <c:tx>
            <c:strRef>
              <c:f>Sheet3!$AA$1:$AA$2</c:f>
              <c:strCache>
                <c:ptCount val="1"/>
                <c:pt idx="0">
                  <c:v>Others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Sheet3!$X$3:$X$4</c:f>
              <c:strCache>
                <c:ptCount val="2"/>
                <c:pt idx="0">
                  <c:v>Met minimum</c:v>
                </c:pt>
                <c:pt idx="1">
                  <c:v>Not met minimum</c:v>
                </c:pt>
              </c:strCache>
            </c:strRef>
          </c:cat>
          <c:val>
            <c:numRef>
              <c:f>Sheet3!$AA$3:$AA$4</c:f>
              <c:numCache>
                <c:formatCode>General</c:formatCode>
                <c:ptCount val="2"/>
                <c:pt idx="0">
                  <c:v>14</c:v>
                </c:pt>
                <c:pt idx="1">
                  <c:v>24</c:v>
                </c:pt>
              </c:numCache>
            </c:numRef>
          </c:val>
          <c:extLst>
            <c:ext xmlns:c16="http://schemas.microsoft.com/office/drawing/2014/chart" uri="{C3380CC4-5D6E-409C-BE32-E72D297353CC}">
              <c16:uniqueId val="{00000006-4551-4CC9-9744-42D8AE3F3C5E}"/>
            </c:ext>
          </c:extLst>
        </c:ser>
        <c:dLbls>
          <c:dLblPos val="outEnd"/>
          <c:showLegendKey val="0"/>
          <c:showVal val="1"/>
          <c:showCatName val="0"/>
          <c:showSerName val="0"/>
          <c:showPercent val="0"/>
          <c:showBubbleSize val="0"/>
        </c:dLbls>
        <c:gapWidth val="219"/>
        <c:axId val="401142351"/>
        <c:axId val="401145231"/>
      </c:barChart>
      <c:catAx>
        <c:axId val="401142351"/>
        <c:scaling>
          <c:orientation val="minMax"/>
        </c:scaling>
        <c:delete val="0"/>
        <c:axPos val="l"/>
        <c:numFmt formatCode="General" sourceLinked="1"/>
        <c:majorTickMark val="none"/>
        <c:minorTickMark val="none"/>
        <c:tickLblPos val="nextTo"/>
        <c:spPr>
          <a:noFill/>
          <a:ln w="9525" cap="flat" cmpd="sng" algn="ctr">
            <a:solidFill>
              <a:schemeClr val="accent5"/>
            </a:solidFill>
            <a:round/>
          </a:ln>
          <a:effectLst/>
        </c:spPr>
        <c:txPr>
          <a:bodyPr rot="-6000000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en-US"/>
          </a:p>
        </c:txPr>
        <c:crossAx val="401145231"/>
        <c:crosses val="autoZero"/>
        <c:auto val="1"/>
        <c:lblAlgn val="ctr"/>
        <c:lblOffset val="100"/>
        <c:noMultiLvlLbl val="0"/>
      </c:catAx>
      <c:valAx>
        <c:axId val="401145231"/>
        <c:scaling>
          <c:orientation val="minMax"/>
        </c:scaling>
        <c:delete val="1"/>
        <c:axPos val="b"/>
        <c:numFmt formatCode="General" sourceLinked="1"/>
        <c:majorTickMark val="none"/>
        <c:minorTickMark val="none"/>
        <c:tickLblPos val="nextTo"/>
        <c:crossAx val="4011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13"/>
  </c:pivotSource>
  <c:chart>
    <c:title>
      <c:tx>
        <c:rich>
          <a:bodyPr rot="0" spcFirstLastPara="1" vertOverflow="ellipsis" vert="horz" wrap="square" anchor="ctr" anchorCtr="1"/>
          <a:lstStyle/>
          <a:p>
            <a:pPr>
              <a:defRPr sz="1100" b="0" i="0" u="none" strike="noStrike" kern="1200" spc="0" baseline="0">
                <a:solidFill>
                  <a:srgbClr val="F9DB6D"/>
                </a:solidFill>
                <a:latin typeface="+mn-lt"/>
                <a:ea typeface="+mn-ea"/>
                <a:cs typeface="+mn-cs"/>
              </a:defRPr>
            </a:pPr>
            <a:r>
              <a:rPr lang="en-US" sz="1100">
                <a:solidFill>
                  <a:srgbClr val="F9DB6D"/>
                </a:solidFill>
              </a:rPr>
              <a:t>Employee by Region</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F9DB6D"/>
              </a:solidFill>
              <a:latin typeface="+mn-lt"/>
              <a:ea typeface="+mn-ea"/>
              <a:cs typeface="+mn-cs"/>
            </a:defRPr>
          </a:pPr>
          <a:endParaRPr lang="en-US"/>
        </a:p>
      </c:txPr>
    </c:title>
    <c:autoTitleDeleted val="0"/>
    <c:pivotFmts>
      <c:pivotFmt>
        <c:idx val="0"/>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9DB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682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64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Insights!$B$4:$B$5</c:f>
              <c:strCache>
                <c:ptCount val="1"/>
                <c:pt idx="0">
                  <c:v>Female</c:v>
                </c:pt>
              </c:strCache>
            </c:strRef>
          </c:tx>
          <c:spPr>
            <a:solidFill>
              <a:srgbClr val="F9DB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Insights!$B$6:$B$8</c:f>
              <c:numCache>
                <c:formatCode>General</c:formatCode>
                <c:ptCount val="3"/>
                <c:pt idx="0">
                  <c:v>144</c:v>
                </c:pt>
                <c:pt idx="1">
                  <c:v>151</c:v>
                </c:pt>
                <c:pt idx="2">
                  <c:v>111</c:v>
                </c:pt>
              </c:numCache>
            </c:numRef>
          </c:val>
          <c:extLst>
            <c:ext xmlns:c16="http://schemas.microsoft.com/office/drawing/2014/chart" uri="{C3380CC4-5D6E-409C-BE32-E72D297353CC}">
              <c16:uniqueId val="{00000000-D41E-40DA-A12C-9CD4F6271B05}"/>
            </c:ext>
          </c:extLst>
        </c:ser>
        <c:ser>
          <c:idx val="1"/>
          <c:order val="1"/>
          <c:tx>
            <c:strRef>
              <c:f>Insights!$C$4:$C$5</c:f>
              <c:strCache>
                <c:ptCount val="1"/>
                <c:pt idx="0">
                  <c:v>Male</c:v>
                </c:pt>
              </c:strCache>
            </c:strRef>
          </c:tx>
          <c:spPr>
            <a:solidFill>
              <a:srgbClr val="3682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Insights!$C$6:$C$8</c:f>
              <c:numCache>
                <c:formatCode>General</c:formatCode>
                <c:ptCount val="3"/>
                <c:pt idx="0">
                  <c:v>144</c:v>
                </c:pt>
                <c:pt idx="1">
                  <c:v>172</c:v>
                </c:pt>
                <c:pt idx="2">
                  <c:v>114</c:v>
                </c:pt>
              </c:numCache>
            </c:numRef>
          </c:val>
          <c:extLst>
            <c:ext xmlns:c16="http://schemas.microsoft.com/office/drawing/2014/chart" uri="{C3380CC4-5D6E-409C-BE32-E72D297353CC}">
              <c16:uniqueId val="{00000004-54E4-4D60-AB11-9BE0B4AE3998}"/>
            </c:ext>
          </c:extLst>
        </c:ser>
        <c:ser>
          <c:idx val="2"/>
          <c:order val="2"/>
          <c:tx>
            <c:strRef>
              <c:f>Insights!$D$4:$D$5</c:f>
              <c:strCache>
                <c:ptCount val="1"/>
                <c:pt idx="0">
                  <c:v>Others</c:v>
                </c:pt>
              </c:strCache>
            </c:strRef>
          </c:tx>
          <c:spPr>
            <a:solidFill>
              <a:srgbClr val="464D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Insights!$A$6:$A$8</c:f>
              <c:strCache>
                <c:ptCount val="3"/>
                <c:pt idx="0">
                  <c:v>Abuja</c:v>
                </c:pt>
                <c:pt idx="1">
                  <c:v>Kaduna</c:v>
                </c:pt>
                <c:pt idx="2">
                  <c:v>Lagos</c:v>
                </c:pt>
              </c:strCache>
            </c:strRef>
          </c:cat>
          <c:val>
            <c:numRef>
              <c:f>Insights!$D$6:$D$8</c:f>
              <c:numCache>
                <c:formatCode>General</c:formatCode>
                <c:ptCount val="3"/>
                <c:pt idx="0">
                  <c:v>16</c:v>
                </c:pt>
                <c:pt idx="1">
                  <c:v>14</c:v>
                </c:pt>
                <c:pt idx="2">
                  <c:v>8</c:v>
                </c:pt>
              </c:numCache>
            </c:numRef>
          </c:val>
          <c:extLst>
            <c:ext xmlns:c16="http://schemas.microsoft.com/office/drawing/2014/chart" uri="{C3380CC4-5D6E-409C-BE32-E72D297353CC}">
              <c16:uniqueId val="{00000005-54E4-4D60-AB11-9BE0B4AE3998}"/>
            </c:ext>
          </c:extLst>
        </c:ser>
        <c:dLbls>
          <c:dLblPos val="outEnd"/>
          <c:showLegendKey val="0"/>
          <c:showVal val="1"/>
          <c:showCatName val="0"/>
          <c:showSerName val="0"/>
          <c:showPercent val="0"/>
          <c:showBubbleSize val="0"/>
        </c:dLbls>
        <c:gapWidth val="219"/>
        <c:overlap val="-27"/>
        <c:axId val="610443679"/>
        <c:axId val="610444159"/>
      </c:barChart>
      <c:catAx>
        <c:axId val="610443679"/>
        <c:scaling>
          <c:orientation val="minMax"/>
        </c:scaling>
        <c:delete val="0"/>
        <c:axPos val="b"/>
        <c:numFmt formatCode="General" sourceLinked="1"/>
        <c:majorTickMark val="none"/>
        <c:minorTickMark val="none"/>
        <c:tickLblPos val="nextTo"/>
        <c:spPr>
          <a:noFill/>
          <a:ln w="9525" cap="flat" cmpd="sng" algn="ctr">
            <a:solidFill>
              <a:srgbClr val="F9DB6D"/>
            </a:solidFill>
            <a:round/>
          </a:ln>
          <a:effectLst/>
        </c:spPr>
        <c:txPr>
          <a:bodyPr rot="-60000000" spcFirstLastPara="1" vertOverflow="ellipsis" vert="horz" wrap="square" anchor="ctr" anchorCtr="1"/>
          <a:lstStyle/>
          <a:p>
            <a:pPr>
              <a:defRPr sz="900" b="0" i="0" u="none" strike="noStrike" kern="1200" baseline="0">
                <a:solidFill>
                  <a:srgbClr val="F9DB6D"/>
                </a:solidFill>
                <a:latin typeface="+mn-lt"/>
                <a:ea typeface="+mn-ea"/>
                <a:cs typeface="+mn-cs"/>
              </a:defRPr>
            </a:pPr>
            <a:endParaRPr lang="en-US"/>
          </a:p>
        </c:txPr>
        <c:crossAx val="610444159"/>
        <c:crosses val="autoZero"/>
        <c:auto val="1"/>
        <c:lblAlgn val="ctr"/>
        <c:lblOffset val="100"/>
        <c:noMultiLvlLbl val="0"/>
      </c:catAx>
      <c:valAx>
        <c:axId val="610444159"/>
        <c:scaling>
          <c:orientation val="minMax"/>
        </c:scaling>
        <c:delete val="1"/>
        <c:axPos val="l"/>
        <c:numFmt formatCode="General" sourceLinked="1"/>
        <c:majorTickMark val="none"/>
        <c:minorTickMark val="none"/>
        <c:tickLblPos val="nextTo"/>
        <c:crossAx val="61044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dash.xlsx]Sheet3!p3</c:name>
    <c:fmtId val="26"/>
  </c:pivotSource>
  <c:chart>
    <c:title>
      <c:tx>
        <c:rich>
          <a:bodyPr rot="0" spcFirstLastPara="1" vertOverflow="ellipsis" vert="horz" wrap="square" anchor="ctr" anchorCtr="1"/>
          <a:lstStyle/>
          <a:p>
            <a:pPr>
              <a:defRPr sz="1100" b="0" i="0" u="none" strike="noStrike" kern="1200" spc="0" baseline="0">
                <a:solidFill>
                  <a:srgbClr val="F9DB6D"/>
                </a:solidFill>
                <a:latin typeface="+mn-lt"/>
                <a:ea typeface="+mn-ea"/>
                <a:cs typeface="+mn-cs"/>
              </a:defRPr>
            </a:pPr>
            <a:r>
              <a:rPr lang="en-US" sz="1100">
                <a:solidFill>
                  <a:srgbClr val="F9DB6D"/>
                </a:solidFill>
              </a:rPr>
              <a:t>Employees by Salary</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F9DB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7.25909261342321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239664928030468E-16"/>
              <c:y val="1.2861333509781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dLbl>
          <c:idx val="0"/>
          <c:layout>
            <c:manualLayout>
              <c:x val="0"/>
              <c:y val="7.25909261342321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dLbl>
          <c:idx val="0"/>
          <c:layout>
            <c:manualLayout>
              <c:x val="-1.239664928030468E-16"/>
              <c:y val="1.2861333509781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9DB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682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64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64D77"/>
          </a:solidFill>
          <a:ln>
            <a:noFill/>
          </a:ln>
          <a:effectLst/>
        </c:spPr>
        <c:dLbl>
          <c:idx val="0"/>
          <c:layout>
            <c:manualLayout>
              <c:x val="0"/>
              <c:y val="7.259092613423219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464D77"/>
          </a:solidFill>
          <a:ln>
            <a:noFill/>
          </a:ln>
          <a:effectLst/>
        </c:spPr>
        <c:dLbl>
          <c:idx val="0"/>
          <c:layout>
            <c:manualLayout>
              <c:x val="-1.239664928030468E-16"/>
              <c:y val="1.2861333509781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Sheet3!$Y$14:$Y$15</c:f>
              <c:strCache>
                <c:ptCount val="1"/>
                <c:pt idx="0">
                  <c:v>Female</c:v>
                </c:pt>
              </c:strCache>
            </c:strRef>
          </c:tx>
          <c:spPr>
            <a:solidFill>
              <a:srgbClr val="F9DB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Sheet3!$X$16:$X$20</c:f>
              <c:strCache>
                <c:ptCount val="5"/>
                <c:pt idx="0">
                  <c:v>100,000 - 110,000</c:v>
                </c:pt>
                <c:pt idx="1">
                  <c:v>30,000 - 40,000</c:v>
                </c:pt>
                <c:pt idx="2">
                  <c:v>40,000 - 50,000</c:v>
                </c:pt>
                <c:pt idx="3">
                  <c:v>70,000 - 80,000</c:v>
                </c:pt>
                <c:pt idx="4">
                  <c:v>80,000 - 90,000</c:v>
                </c:pt>
              </c:strCache>
            </c:strRef>
          </c:cat>
          <c:val>
            <c:numRef>
              <c:f>Sheet3!$Y$16:$Y$20</c:f>
              <c:numCache>
                <c:formatCode>General</c:formatCode>
                <c:ptCount val="5"/>
                <c:pt idx="0">
                  <c:v>44</c:v>
                </c:pt>
                <c:pt idx="1">
                  <c:v>54</c:v>
                </c:pt>
                <c:pt idx="2">
                  <c:v>46</c:v>
                </c:pt>
                <c:pt idx="3">
                  <c:v>50</c:v>
                </c:pt>
                <c:pt idx="4">
                  <c:v>51</c:v>
                </c:pt>
              </c:numCache>
            </c:numRef>
          </c:val>
          <c:extLst>
            <c:ext xmlns:c16="http://schemas.microsoft.com/office/drawing/2014/chart" uri="{C3380CC4-5D6E-409C-BE32-E72D297353CC}">
              <c16:uniqueId val="{00000000-3558-430D-8129-6487A30D8F0F}"/>
            </c:ext>
          </c:extLst>
        </c:ser>
        <c:ser>
          <c:idx val="1"/>
          <c:order val="1"/>
          <c:tx>
            <c:strRef>
              <c:f>Sheet3!$Z$14:$Z$15</c:f>
              <c:strCache>
                <c:ptCount val="1"/>
                <c:pt idx="0">
                  <c:v>Male</c:v>
                </c:pt>
              </c:strCache>
            </c:strRef>
          </c:tx>
          <c:spPr>
            <a:solidFill>
              <a:srgbClr val="3682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Sheet3!$X$16:$X$20</c:f>
              <c:strCache>
                <c:ptCount val="5"/>
                <c:pt idx="0">
                  <c:v>100,000 - 110,000</c:v>
                </c:pt>
                <c:pt idx="1">
                  <c:v>30,000 - 40,000</c:v>
                </c:pt>
                <c:pt idx="2">
                  <c:v>40,000 - 50,000</c:v>
                </c:pt>
                <c:pt idx="3">
                  <c:v>70,000 - 80,000</c:v>
                </c:pt>
                <c:pt idx="4">
                  <c:v>80,000 - 90,000</c:v>
                </c:pt>
              </c:strCache>
            </c:strRef>
          </c:cat>
          <c:val>
            <c:numRef>
              <c:f>Sheet3!$Z$16:$Z$20</c:f>
              <c:numCache>
                <c:formatCode>General</c:formatCode>
                <c:ptCount val="5"/>
                <c:pt idx="0">
                  <c:v>47</c:v>
                </c:pt>
                <c:pt idx="1">
                  <c:v>40</c:v>
                </c:pt>
                <c:pt idx="2">
                  <c:v>46</c:v>
                </c:pt>
                <c:pt idx="3">
                  <c:v>52</c:v>
                </c:pt>
                <c:pt idx="4">
                  <c:v>42</c:v>
                </c:pt>
              </c:numCache>
            </c:numRef>
          </c:val>
          <c:extLst>
            <c:ext xmlns:c16="http://schemas.microsoft.com/office/drawing/2014/chart" uri="{C3380CC4-5D6E-409C-BE32-E72D297353CC}">
              <c16:uniqueId val="{00000006-3A46-4EB3-80BD-08C1F7EA3E5A}"/>
            </c:ext>
          </c:extLst>
        </c:ser>
        <c:ser>
          <c:idx val="2"/>
          <c:order val="2"/>
          <c:tx>
            <c:strRef>
              <c:f>Sheet3!$AA$14:$AA$15</c:f>
              <c:strCache>
                <c:ptCount val="1"/>
                <c:pt idx="0">
                  <c:v>Others</c:v>
                </c:pt>
              </c:strCache>
            </c:strRef>
          </c:tx>
          <c:spPr>
            <a:solidFill>
              <a:srgbClr val="464D77"/>
            </a:solidFill>
            <a:ln>
              <a:noFill/>
            </a:ln>
            <a:effectLst/>
          </c:spPr>
          <c:invertIfNegative val="0"/>
          <c:dPt>
            <c:idx val="0"/>
            <c:invertIfNegative val="0"/>
            <c:bubble3D val="0"/>
            <c:extLst>
              <c:ext xmlns:c16="http://schemas.microsoft.com/office/drawing/2014/chart" uri="{C3380CC4-5D6E-409C-BE32-E72D297353CC}">
                <c16:uniqueId val="{00000000-3928-493F-B662-00C4AC51ACEC}"/>
              </c:ext>
            </c:extLst>
          </c:dPt>
          <c:dPt>
            <c:idx val="3"/>
            <c:invertIfNegative val="0"/>
            <c:bubble3D val="0"/>
            <c:extLst>
              <c:ext xmlns:c16="http://schemas.microsoft.com/office/drawing/2014/chart" uri="{C3380CC4-5D6E-409C-BE32-E72D297353CC}">
                <c16:uniqueId val="{00000001-3928-493F-B662-00C4AC51ACEC}"/>
              </c:ext>
            </c:extLst>
          </c:dPt>
          <c:dLbls>
            <c:dLbl>
              <c:idx val="0"/>
              <c:layout>
                <c:manualLayout>
                  <c:x val="0"/>
                  <c:y val="7.25909261342321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28-493F-B662-00C4AC51ACEC}"/>
                </c:ext>
              </c:extLst>
            </c:dLbl>
            <c:dLbl>
              <c:idx val="3"/>
              <c:layout>
                <c:manualLayout>
                  <c:x val="-1.239664928030468E-16"/>
                  <c:y val="1.28613335097818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28-493F-B662-00C4AC51AC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Sheet3!$X$16:$X$20</c:f>
              <c:strCache>
                <c:ptCount val="5"/>
                <c:pt idx="0">
                  <c:v>100,000 - 110,000</c:v>
                </c:pt>
                <c:pt idx="1">
                  <c:v>30,000 - 40,000</c:v>
                </c:pt>
                <c:pt idx="2">
                  <c:v>40,000 - 50,000</c:v>
                </c:pt>
                <c:pt idx="3">
                  <c:v>70,000 - 80,000</c:v>
                </c:pt>
                <c:pt idx="4">
                  <c:v>80,000 - 90,000</c:v>
                </c:pt>
              </c:strCache>
            </c:strRef>
          </c:cat>
          <c:val>
            <c:numRef>
              <c:f>Sheet3!$AA$16:$AA$20</c:f>
              <c:numCache>
                <c:formatCode>General</c:formatCode>
                <c:ptCount val="5"/>
                <c:pt idx="0">
                  <c:v>7</c:v>
                </c:pt>
                <c:pt idx="1">
                  <c:v>2</c:v>
                </c:pt>
                <c:pt idx="2">
                  <c:v>2</c:v>
                </c:pt>
                <c:pt idx="3">
                  <c:v>7</c:v>
                </c:pt>
                <c:pt idx="4">
                  <c:v>3</c:v>
                </c:pt>
              </c:numCache>
            </c:numRef>
          </c:val>
          <c:extLst>
            <c:ext xmlns:c16="http://schemas.microsoft.com/office/drawing/2014/chart" uri="{C3380CC4-5D6E-409C-BE32-E72D297353CC}">
              <c16:uniqueId val="{00000007-3A46-4EB3-80BD-08C1F7EA3E5A}"/>
            </c:ext>
          </c:extLst>
        </c:ser>
        <c:dLbls>
          <c:showLegendKey val="0"/>
          <c:showVal val="0"/>
          <c:showCatName val="0"/>
          <c:showSerName val="0"/>
          <c:showPercent val="0"/>
          <c:showBubbleSize val="0"/>
        </c:dLbls>
        <c:gapWidth val="219"/>
        <c:axId val="610437919"/>
        <c:axId val="610441279"/>
      </c:barChart>
      <c:catAx>
        <c:axId val="610437919"/>
        <c:scaling>
          <c:orientation val="minMax"/>
        </c:scaling>
        <c:delete val="0"/>
        <c:axPos val="b"/>
        <c:numFmt formatCode="General" sourceLinked="1"/>
        <c:majorTickMark val="none"/>
        <c:minorTickMark val="none"/>
        <c:tickLblPos val="nextTo"/>
        <c:spPr>
          <a:noFill/>
          <a:ln w="9525" cap="flat" cmpd="sng" algn="ctr">
            <a:solidFill>
              <a:srgbClr val="F9DB6D"/>
            </a:solidFill>
            <a:round/>
          </a:ln>
          <a:effectLst/>
        </c:spPr>
        <c:txPr>
          <a:bodyPr rot="-60000000" spcFirstLastPara="1" vertOverflow="ellipsis" vert="horz" wrap="square" anchor="ctr" anchorCtr="1"/>
          <a:lstStyle/>
          <a:p>
            <a:pPr>
              <a:defRPr sz="800" b="0" i="0" u="none" strike="noStrike" kern="1200" baseline="0">
                <a:solidFill>
                  <a:srgbClr val="F9DB6D"/>
                </a:solidFill>
                <a:latin typeface="+mn-lt"/>
                <a:ea typeface="+mn-ea"/>
                <a:cs typeface="+mn-cs"/>
              </a:defRPr>
            </a:pPr>
            <a:endParaRPr lang="en-US"/>
          </a:p>
        </c:txPr>
        <c:crossAx val="610441279"/>
        <c:crosses val="autoZero"/>
        <c:auto val="1"/>
        <c:lblAlgn val="ctr"/>
        <c:lblOffset val="100"/>
        <c:noMultiLvlLbl val="0"/>
      </c:catAx>
      <c:valAx>
        <c:axId val="610441279"/>
        <c:scaling>
          <c:orientation val="minMax"/>
        </c:scaling>
        <c:delete val="1"/>
        <c:axPos val="l"/>
        <c:numFmt formatCode="General" sourceLinked="1"/>
        <c:majorTickMark val="none"/>
        <c:minorTickMark val="none"/>
        <c:tickLblPos val="nextTo"/>
        <c:crossAx val="61043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dash.xlsx]Insights!p1-</c:name>
    <c:fmtId val="15"/>
  </c:pivotSource>
  <c:chart>
    <c:title>
      <c:tx>
        <c:rich>
          <a:bodyPr rot="0" spcFirstLastPara="1" vertOverflow="ellipsis" vert="horz" wrap="square" anchor="ctr" anchorCtr="1"/>
          <a:lstStyle/>
          <a:p>
            <a:pPr>
              <a:defRPr sz="1100" b="0" i="0" u="none" strike="noStrike" kern="1200" spc="0" baseline="0">
                <a:solidFill>
                  <a:srgbClr val="F9DB6D"/>
                </a:solidFill>
                <a:latin typeface="+mn-lt"/>
                <a:ea typeface="+mn-ea"/>
                <a:cs typeface="+mn-cs"/>
              </a:defRPr>
            </a:pPr>
            <a:r>
              <a:rPr lang="en-US" sz="1100">
                <a:solidFill>
                  <a:srgbClr val="F9DB6D"/>
                </a:solidFill>
              </a:rPr>
              <a:t>Employee by Department</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F9DB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9DB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682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64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Insights!$A$14:$A$25</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Insights!$B$14:$B$25</c:f>
              <c:numCache>
                <c:formatCode>General</c:formatCode>
                <c:ptCount val="12"/>
                <c:pt idx="0">
                  <c:v>65</c:v>
                </c:pt>
                <c:pt idx="1">
                  <c:v>74</c:v>
                </c:pt>
                <c:pt idx="2">
                  <c:v>75</c:v>
                </c:pt>
                <c:pt idx="3">
                  <c:v>73</c:v>
                </c:pt>
                <c:pt idx="4">
                  <c:v>80</c:v>
                </c:pt>
                <c:pt idx="5">
                  <c:v>63</c:v>
                </c:pt>
                <c:pt idx="6">
                  <c:v>80</c:v>
                </c:pt>
                <c:pt idx="7">
                  <c:v>65</c:v>
                </c:pt>
                <c:pt idx="8">
                  <c:v>75</c:v>
                </c:pt>
                <c:pt idx="9">
                  <c:v>77</c:v>
                </c:pt>
                <c:pt idx="10">
                  <c:v>75</c:v>
                </c:pt>
                <c:pt idx="11">
                  <c:v>72</c:v>
                </c:pt>
              </c:numCache>
            </c:numRef>
          </c:val>
          <c:extLst>
            <c:ext xmlns:c16="http://schemas.microsoft.com/office/drawing/2014/chart" uri="{C3380CC4-5D6E-409C-BE32-E72D297353CC}">
              <c16:uniqueId val="{00000000-84F9-4786-8383-8B5A293BC564}"/>
            </c:ext>
          </c:extLst>
        </c:ser>
        <c:dLbls>
          <c:dLblPos val="outEnd"/>
          <c:showLegendKey val="0"/>
          <c:showVal val="1"/>
          <c:showCatName val="0"/>
          <c:showSerName val="0"/>
          <c:showPercent val="0"/>
          <c:showBubbleSize val="0"/>
        </c:dLbls>
        <c:gapWidth val="219"/>
        <c:overlap val="-27"/>
        <c:axId val="644894207"/>
        <c:axId val="644908607"/>
      </c:barChart>
      <c:catAx>
        <c:axId val="644894207"/>
        <c:scaling>
          <c:orientation val="minMax"/>
        </c:scaling>
        <c:delete val="0"/>
        <c:axPos val="b"/>
        <c:numFmt formatCode="General" sourceLinked="1"/>
        <c:majorTickMark val="none"/>
        <c:minorTickMark val="none"/>
        <c:tickLblPos val="nextTo"/>
        <c:spPr>
          <a:noFill/>
          <a:ln w="9525" cap="flat" cmpd="sng" algn="ctr">
            <a:solidFill>
              <a:srgbClr val="F9DB6D"/>
            </a:solidFill>
            <a:round/>
          </a:ln>
          <a:effectLst/>
        </c:spPr>
        <c:txPr>
          <a:bodyPr rot="-60000000" spcFirstLastPara="1" vertOverflow="ellipsis" vert="horz" wrap="square" anchor="ctr" anchorCtr="1"/>
          <a:lstStyle/>
          <a:p>
            <a:pPr>
              <a:defRPr sz="800" b="0" i="0" u="none" strike="noStrike" kern="1200" baseline="0">
                <a:solidFill>
                  <a:srgbClr val="F9DB6D"/>
                </a:solidFill>
                <a:latin typeface="+mn-lt"/>
                <a:ea typeface="+mn-ea"/>
                <a:cs typeface="+mn-cs"/>
              </a:defRPr>
            </a:pPr>
            <a:endParaRPr lang="en-US"/>
          </a:p>
        </c:txPr>
        <c:crossAx val="644908607"/>
        <c:crosses val="autoZero"/>
        <c:auto val="1"/>
        <c:lblAlgn val="ctr"/>
        <c:lblOffset val="100"/>
        <c:noMultiLvlLbl val="0"/>
      </c:catAx>
      <c:valAx>
        <c:axId val="644908607"/>
        <c:scaling>
          <c:orientation val="minMax"/>
        </c:scaling>
        <c:delete val="1"/>
        <c:axPos val="l"/>
        <c:numFmt formatCode="General" sourceLinked="1"/>
        <c:majorTickMark val="none"/>
        <c:minorTickMark val="none"/>
        <c:tickLblPos val="nextTo"/>
        <c:crossAx val="64489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[Palmoria Group emp-data - dash.xlsx]Sheet3!p5</c:name>
    <c:fmtId val="13"/>
  </c:pivotSource>
  <c:chart>
    <c:title>
      <c:tx>
        <c:rich>
          <a:bodyPr rot="0" spcFirstLastPara="1" vertOverflow="ellipsis" vert="horz" wrap="square" anchor="ctr" anchorCtr="1"/>
          <a:lstStyle/>
          <a:p>
            <a:pPr>
              <a:defRPr sz="1050" b="0" i="0" u="none" strike="noStrike" kern="1200" spc="0" baseline="0">
                <a:solidFill>
                  <a:srgbClr val="F9DB6D"/>
                </a:solidFill>
                <a:latin typeface="+mn-lt"/>
                <a:ea typeface="+mn-ea"/>
                <a:cs typeface="+mn-cs"/>
              </a:defRPr>
            </a:pPr>
            <a:r>
              <a:rPr lang="en-US" sz="1050">
                <a:solidFill>
                  <a:srgbClr val="F9DB6D"/>
                </a:solidFill>
              </a:rPr>
              <a:t>Employees by Minimum salary requirement</a:t>
            </a: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F9DB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3B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9DB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682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464D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Sheet3!$Y$1:$Y$2</c:f>
              <c:strCache>
                <c:ptCount val="1"/>
                <c:pt idx="0">
                  <c:v>Female</c:v>
                </c:pt>
              </c:strCache>
            </c:strRef>
          </c:tx>
          <c:spPr>
            <a:solidFill>
              <a:srgbClr val="F9DB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Sheet3!$X$3:$X$4</c:f>
              <c:strCache>
                <c:ptCount val="2"/>
                <c:pt idx="0">
                  <c:v>Met minimum</c:v>
                </c:pt>
                <c:pt idx="1">
                  <c:v>Not met minimum</c:v>
                </c:pt>
              </c:strCache>
            </c:strRef>
          </c:cat>
          <c:val>
            <c:numRef>
              <c:f>Sheet3!$Y$3:$Y$4</c:f>
              <c:numCache>
                <c:formatCode>General</c:formatCode>
                <c:ptCount val="2"/>
                <c:pt idx="0">
                  <c:v>121</c:v>
                </c:pt>
                <c:pt idx="1">
                  <c:v>285</c:v>
                </c:pt>
              </c:numCache>
            </c:numRef>
          </c:val>
          <c:extLst>
            <c:ext xmlns:c16="http://schemas.microsoft.com/office/drawing/2014/chart" uri="{C3380CC4-5D6E-409C-BE32-E72D297353CC}">
              <c16:uniqueId val="{00000000-39B7-4CB3-8752-F669AE8D5C76}"/>
            </c:ext>
          </c:extLst>
        </c:ser>
        <c:ser>
          <c:idx val="1"/>
          <c:order val="1"/>
          <c:tx>
            <c:strRef>
              <c:f>Sheet3!$Z$1:$Z$2</c:f>
              <c:strCache>
                <c:ptCount val="1"/>
                <c:pt idx="0">
                  <c:v>Male</c:v>
                </c:pt>
              </c:strCache>
            </c:strRef>
          </c:tx>
          <c:spPr>
            <a:solidFill>
              <a:srgbClr val="36827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Sheet3!$X$3:$X$4</c:f>
              <c:strCache>
                <c:ptCount val="2"/>
                <c:pt idx="0">
                  <c:v>Met minimum</c:v>
                </c:pt>
                <c:pt idx="1">
                  <c:v>Not met minimum</c:v>
                </c:pt>
              </c:strCache>
            </c:strRef>
          </c:cat>
          <c:val>
            <c:numRef>
              <c:f>Sheet3!$Z$3:$Z$4</c:f>
              <c:numCache>
                <c:formatCode>General</c:formatCode>
                <c:ptCount val="2"/>
                <c:pt idx="0">
                  <c:v>140</c:v>
                </c:pt>
                <c:pt idx="1">
                  <c:v>290</c:v>
                </c:pt>
              </c:numCache>
            </c:numRef>
          </c:val>
          <c:extLst>
            <c:ext xmlns:c16="http://schemas.microsoft.com/office/drawing/2014/chart" uri="{C3380CC4-5D6E-409C-BE32-E72D297353CC}">
              <c16:uniqueId val="{00000004-0658-41A7-B112-D60A5B56FF17}"/>
            </c:ext>
          </c:extLst>
        </c:ser>
        <c:ser>
          <c:idx val="2"/>
          <c:order val="2"/>
          <c:tx>
            <c:strRef>
              <c:f>Sheet3!$AA$1:$AA$2</c:f>
              <c:strCache>
                <c:ptCount val="1"/>
                <c:pt idx="0">
                  <c:v>Others</c:v>
                </c:pt>
              </c:strCache>
            </c:strRef>
          </c:tx>
          <c:spPr>
            <a:solidFill>
              <a:srgbClr val="464D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DB6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Sheet3!$X$3:$X$4</c:f>
              <c:strCache>
                <c:ptCount val="2"/>
                <c:pt idx="0">
                  <c:v>Met minimum</c:v>
                </c:pt>
                <c:pt idx="1">
                  <c:v>Not met minimum</c:v>
                </c:pt>
              </c:strCache>
            </c:strRef>
          </c:cat>
          <c:val>
            <c:numRef>
              <c:f>Sheet3!$AA$3:$AA$4</c:f>
              <c:numCache>
                <c:formatCode>General</c:formatCode>
                <c:ptCount val="2"/>
                <c:pt idx="0">
                  <c:v>14</c:v>
                </c:pt>
                <c:pt idx="1">
                  <c:v>24</c:v>
                </c:pt>
              </c:numCache>
            </c:numRef>
          </c:val>
          <c:extLst>
            <c:ext xmlns:c16="http://schemas.microsoft.com/office/drawing/2014/chart" uri="{C3380CC4-5D6E-409C-BE32-E72D297353CC}">
              <c16:uniqueId val="{00000005-0658-41A7-B112-D60A5B56FF17}"/>
            </c:ext>
          </c:extLst>
        </c:ser>
        <c:dLbls>
          <c:dLblPos val="outEnd"/>
          <c:showLegendKey val="0"/>
          <c:showVal val="1"/>
          <c:showCatName val="0"/>
          <c:showSerName val="0"/>
          <c:showPercent val="0"/>
          <c:showBubbleSize val="0"/>
        </c:dLbls>
        <c:gapWidth val="219"/>
        <c:axId val="401142351"/>
        <c:axId val="401145231"/>
      </c:barChart>
      <c:catAx>
        <c:axId val="401142351"/>
        <c:scaling>
          <c:orientation val="minMax"/>
        </c:scaling>
        <c:delete val="0"/>
        <c:axPos val="l"/>
        <c:numFmt formatCode="General" sourceLinked="1"/>
        <c:majorTickMark val="none"/>
        <c:minorTickMark val="none"/>
        <c:tickLblPos val="nextTo"/>
        <c:spPr>
          <a:noFill/>
          <a:ln w="9525" cap="flat" cmpd="sng" algn="ctr">
            <a:solidFill>
              <a:srgbClr val="F9DB6D"/>
            </a:solidFill>
            <a:round/>
          </a:ln>
          <a:effectLst/>
        </c:spPr>
        <c:txPr>
          <a:bodyPr rot="-60000000" spcFirstLastPara="1" vertOverflow="ellipsis" vert="horz" wrap="square" anchor="ctr" anchorCtr="1"/>
          <a:lstStyle/>
          <a:p>
            <a:pPr>
              <a:defRPr sz="900" b="0" i="0" u="none" strike="noStrike" kern="1200" baseline="0">
                <a:solidFill>
                  <a:srgbClr val="F9DB6D"/>
                </a:solidFill>
                <a:latin typeface="+mn-lt"/>
                <a:ea typeface="+mn-ea"/>
                <a:cs typeface="+mn-cs"/>
              </a:defRPr>
            </a:pPr>
            <a:endParaRPr lang="en-US"/>
          </a:p>
        </c:txPr>
        <c:crossAx val="401145231"/>
        <c:crosses val="autoZero"/>
        <c:auto val="1"/>
        <c:lblAlgn val="ctr"/>
        <c:lblOffset val="100"/>
        <c:noMultiLvlLbl val="0"/>
      </c:catAx>
      <c:valAx>
        <c:axId val="401145231"/>
        <c:scaling>
          <c:orientation val="minMax"/>
        </c:scaling>
        <c:delete val="1"/>
        <c:axPos val="b"/>
        <c:numFmt formatCode="General" sourceLinked="1"/>
        <c:majorTickMark val="none"/>
        <c:minorTickMark val="none"/>
        <c:tickLblPos val="nextTo"/>
        <c:crossAx val="40114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chart" Target="../charts/chart4.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3.xml"/><Relationship Id="rId9" Type="http://schemas.microsoft.com/office/2007/relationships/hdphoto" Target="../media/hdphoto1.wdp"/><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6.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image" Target="../media/image11.png"/><Relationship Id="rId12" Type="http://schemas.openxmlformats.org/officeDocument/2006/relationships/image" Target="../media/image7.png"/><Relationship Id="rId2" Type="http://schemas.openxmlformats.org/officeDocument/2006/relationships/chart" Target="../charts/chart10.xml"/><Relationship Id="rId1" Type="http://schemas.openxmlformats.org/officeDocument/2006/relationships/chart" Target="../charts/chart9.xml"/><Relationship Id="rId6" Type="http://schemas.microsoft.com/office/2007/relationships/hdphoto" Target="../media/hdphoto1.wdp"/><Relationship Id="rId11" Type="http://schemas.openxmlformats.org/officeDocument/2006/relationships/image" Target="../media/image12.png"/><Relationship Id="rId5" Type="http://schemas.openxmlformats.org/officeDocument/2006/relationships/image" Target="../media/image4.png"/><Relationship Id="rId10" Type="http://schemas.openxmlformats.org/officeDocument/2006/relationships/image" Target="../media/image5.png"/><Relationship Id="rId4" Type="http://schemas.openxmlformats.org/officeDocument/2006/relationships/chart" Target="../charts/chart12.xml"/><Relationship Id="rId9"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microsoft.com/office/2007/relationships/hdphoto" Target="../media/hdphoto1.wdp"/><Relationship Id="rId5" Type="http://schemas.openxmlformats.org/officeDocument/2006/relationships/image" Target="../media/image4.png"/><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23</xdr:col>
      <xdr:colOff>390525</xdr:colOff>
      <xdr:row>37</xdr:row>
      <xdr:rowOff>57149</xdr:rowOff>
    </xdr:to>
    <xdr:sp macro="" textlink="">
      <xdr:nvSpPr>
        <xdr:cNvPr id="2" name="Rectangle 1">
          <a:extLst>
            <a:ext uri="{FF2B5EF4-FFF2-40B4-BE49-F238E27FC236}">
              <a16:creationId xmlns:a16="http://schemas.microsoft.com/office/drawing/2014/main" id="{3F075FF4-7BEC-4540-AE60-D7A49383DF76}"/>
            </a:ext>
          </a:extLst>
        </xdr:cNvPr>
        <xdr:cNvSpPr/>
      </xdr:nvSpPr>
      <xdr:spPr>
        <a:xfrm>
          <a:off x="0" y="0"/>
          <a:ext cx="13801725" cy="71056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114300</xdr:colOff>
      <xdr:row>6</xdr:row>
      <xdr:rowOff>190499</xdr:rowOff>
    </xdr:from>
    <xdr:to>
      <xdr:col>19</xdr:col>
      <xdr:colOff>228600</xdr:colOff>
      <xdr:row>36</xdr:row>
      <xdr:rowOff>9524</xdr:rowOff>
    </xdr:to>
    <xdr:sp macro="" textlink="">
      <xdr:nvSpPr>
        <xdr:cNvPr id="5" name="Rectangle 4">
          <a:extLst>
            <a:ext uri="{FF2B5EF4-FFF2-40B4-BE49-F238E27FC236}">
              <a16:creationId xmlns:a16="http://schemas.microsoft.com/office/drawing/2014/main" id="{D02DA5C4-A4E6-4F60-A4BC-121A45BAAACA}"/>
            </a:ext>
          </a:extLst>
        </xdr:cNvPr>
        <xdr:cNvSpPr/>
      </xdr:nvSpPr>
      <xdr:spPr>
        <a:xfrm>
          <a:off x="2552700" y="1333499"/>
          <a:ext cx="9258300" cy="5534025"/>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85724</xdr:colOff>
      <xdr:row>0</xdr:row>
      <xdr:rowOff>28575</xdr:rowOff>
    </xdr:from>
    <xdr:to>
      <xdr:col>4</xdr:col>
      <xdr:colOff>57149</xdr:colOff>
      <xdr:row>35</xdr:row>
      <xdr:rowOff>28575</xdr:rowOff>
    </xdr:to>
    <xdr:sp macro="" textlink="">
      <xdr:nvSpPr>
        <xdr:cNvPr id="3" name="Rectangle: Rounded Corners 2">
          <a:extLst>
            <a:ext uri="{FF2B5EF4-FFF2-40B4-BE49-F238E27FC236}">
              <a16:creationId xmlns:a16="http://schemas.microsoft.com/office/drawing/2014/main" id="{D4AD7B7A-E2D1-4C16-99B8-237EBDF1F81C}"/>
            </a:ext>
          </a:extLst>
        </xdr:cNvPr>
        <xdr:cNvSpPr/>
      </xdr:nvSpPr>
      <xdr:spPr>
        <a:xfrm>
          <a:off x="695324" y="28575"/>
          <a:ext cx="1800225" cy="6667500"/>
        </a:xfrm>
        <a:prstGeom prst="roundRect">
          <a:avLst>
            <a:gd name="adj" fmla="val 21958"/>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571499</xdr:colOff>
      <xdr:row>7</xdr:row>
      <xdr:rowOff>66675</xdr:rowOff>
    </xdr:from>
    <xdr:to>
      <xdr:col>19</xdr:col>
      <xdr:colOff>142874</xdr:colOff>
      <xdr:row>21</xdr:row>
      <xdr:rowOff>0</xdr:rowOff>
    </xdr:to>
    <xdr:sp macro="" textlink="">
      <xdr:nvSpPr>
        <xdr:cNvPr id="6" name="Rectangle: Rounded Corners 5">
          <a:extLst>
            <a:ext uri="{FF2B5EF4-FFF2-40B4-BE49-F238E27FC236}">
              <a16:creationId xmlns:a16="http://schemas.microsoft.com/office/drawing/2014/main" id="{231E50F7-287A-4EF3-B5F1-25FD6C532443}"/>
            </a:ext>
          </a:extLst>
        </xdr:cNvPr>
        <xdr:cNvSpPr/>
      </xdr:nvSpPr>
      <xdr:spPr>
        <a:xfrm>
          <a:off x="6667499" y="1400175"/>
          <a:ext cx="5057775" cy="2600325"/>
        </a:xfrm>
        <a:prstGeom prst="roundRect">
          <a:avLst>
            <a:gd name="adj" fmla="val 6044"/>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180974</xdr:colOff>
      <xdr:row>21</xdr:row>
      <xdr:rowOff>66675</xdr:rowOff>
    </xdr:from>
    <xdr:to>
      <xdr:col>10</xdr:col>
      <xdr:colOff>609599</xdr:colOff>
      <xdr:row>35</xdr:row>
      <xdr:rowOff>28575</xdr:rowOff>
    </xdr:to>
    <xdr:sp macro="" textlink="">
      <xdr:nvSpPr>
        <xdr:cNvPr id="7" name="Rectangle: Rounded Corners 6">
          <a:extLst>
            <a:ext uri="{FF2B5EF4-FFF2-40B4-BE49-F238E27FC236}">
              <a16:creationId xmlns:a16="http://schemas.microsoft.com/office/drawing/2014/main" id="{A76FE896-B2F0-40B6-929E-73F7D9680486}"/>
            </a:ext>
          </a:extLst>
        </xdr:cNvPr>
        <xdr:cNvSpPr/>
      </xdr:nvSpPr>
      <xdr:spPr>
        <a:xfrm>
          <a:off x="2619374" y="4067175"/>
          <a:ext cx="4086225" cy="2628900"/>
        </a:xfrm>
        <a:prstGeom prst="roundRect">
          <a:avLst>
            <a:gd name="adj" fmla="val 6884"/>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104775</xdr:colOff>
      <xdr:row>21</xdr:row>
      <xdr:rowOff>95249</xdr:rowOff>
    </xdr:from>
    <xdr:to>
      <xdr:col>19</xdr:col>
      <xdr:colOff>85725</xdr:colOff>
      <xdr:row>35</xdr:row>
      <xdr:rowOff>47624</xdr:rowOff>
    </xdr:to>
    <xdr:sp macro="" textlink="">
      <xdr:nvSpPr>
        <xdr:cNvPr id="8" name="Rectangle: Rounded Corners 7">
          <a:extLst>
            <a:ext uri="{FF2B5EF4-FFF2-40B4-BE49-F238E27FC236}">
              <a16:creationId xmlns:a16="http://schemas.microsoft.com/office/drawing/2014/main" id="{F5162721-7F9C-4C07-BFDA-7D1551C50A4B}"/>
            </a:ext>
          </a:extLst>
        </xdr:cNvPr>
        <xdr:cNvSpPr/>
      </xdr:nvSpPr>
      <xdr:spPr>
        <a:xfrm>
          <a:off x="6810375" y="4095749"/>
          <a:ext cx="4857750" cy="2619375"/>
        </a:xfrm>
        <a:prstGeom prst="roundRect">
          <a:avLst>
            <a:gd name="adj" fmla="val 5758"/>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295275</xdr:colOff>
      <xdr:row>7</xdr:row>
      <xdr:rowOff>161925</xdr:rowOff>
    </xdr:from>
    <xdr:to>
      <xdr:col>23</xdr:col>
      <xdr:colOff>104774</xdr:colOff>
      <xdr:row>34</xdr:row>
      <xdr:rowOff>161925</xdr:rowOff>
    </xdr:to>
    <xdr:sp macro="" textlink="">
      <xdr:nvSpPr>
        <xdr:cNvPr id="9" name="Rectangle: Rounded Corners 8">
          <a:extLst>
            <a:ext uri="{FF2B5EF4-FFF2-40B4-BE49-F238E27FC236}">
              <a16:creationId xmlns:a16="http://schemas.microsoft.com/office/drawing/2014/main" id="{DE9DB226-F71B-4547-A624-03CAE7321085}"/>
            </a:ext>
          </a:extLst>
        </xdr:cNvPr>
        <xdr:cNvSpPr/>
      </xdr:nvSpPr>
      <xdr:spPr>
        <a:xfrm>
          <a:off x="12487275" y="1495425"/>
          <a:ext cx="1638299" cy="5143500"/>
        </a:xfrm>
        <a:prstGeom prst="roundRect">
          <a:avLst>
            <a:gd name="adj" fmla="val 9554"/>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409575</xdr:colOff>
      <xdr:row>1</xdr:row>
      <xdr:rowOff>19050</xdr:rowOff>
    </xdr:from>
    <xdr:to>
      <xdr:col>23</xdr:col>
      <xdr:colOff>114300</xdr:colOff>
      <xdr:row>6</xdr:row>
      <xdr:rowOff>57150</xdr:rowOff>
    </xdr:to>
    <xdr:sp macro="" textlink="">
      <xdr:nvSpPr>
        <xdr:cNvPr id="11" name="Rectangle 10">
          <a:extLst>
            <a:ext uri="{FF2B5EF4-FFF2-40B4-BE49-F238E27FC236}">
              <a16:creationId xmlns:a16="http://schemas.microsoft.com/office/drawing/2014/main" id="{96E90F01-FC0A-4247-ADB3-9B84BAA08B2F}"/>
            </a:ext>
          </a:extLst>
        </xdr:cNvPr>
        <xdr:cNvSpPr/>
      </xdr:nvSpPr>
      <xdr:spPr>
        <a:xfrm>
          <a:off x="11991975" y="209550"/>
          <a:ext cx="2143125" cy="990600"/>
        </a:xfrm>
        <a:prstGeom prst="rect">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600075</xdr:colOff>
      <xdr:row>0</xdr:row>
      <xdr:rowOff>161924</xdr:rowOff>
    </xdr:from>
    <xdr:to>
      <xdr:col>8</xdr:col>
      <xdr:colOff>257175</xdr:colOff>
      <xdr:row>6</xdr:row>
      <xdr:rowOff>38099</xdr:rowOff>
    </xdr:to>
    <xdr:sp macro="" textlink="">
      <xdr:nvSpPr>
        <xdr:cNvPr id="12" name="Rectangle 11">
          <a:extLst>
            <a:ext uri="{FF2B5EF4-FFF2-40B4-BE49-F238E27FC236}">
              <a16:creationId xmlns:a16="http://schemas.microsoft.com/office/drawing/2014/main" id="{82DC0F9B-4B38-4096-8A79-561DE3C340D7}"/>
            </a:ext>
          </a:extLst>
        </xdr:cNvPr>
        <xdr:cNvSpPr/>
      </xdr:nvSpPr>
      <xdr:spPr>
        <a:xfrm>
          <a:off x="3648075" y="161924"/>
          <a:ext cx="1485900" cy="1019175"/>
        </a:xfrm>
        <a:prstGeom prst="rect">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504824</xdr:colOff>
      <xdr:row>0</xdr:row>
      <xdr:rowOff>161925</xdr:rowOff>
    </xdr:from>
    <xdr:to>
      <xdr:col>13</xdr:col>
      <xdr:colOff>438150</xdr:colOff>
      <xdr:row>6</xdr:row>
      <xdr:rowOff>9525</xdr:rowOff>
    </xdr:to>
    <xdr:sp macro="" textlink="">
      <xdr:nvSpPr>
        <xdr:cNvPr id="14" name="Rectangle 13">
          <a:extLst>
            <a:ext uri="{FF2B5EF4-FFF2-40B4-BE49-F238E27FC236}">
              <a16:creationId xmlns:a16="http://schemas.microsoft.com/office/drawing/2014/main" id="{48DF198C-E2F3-414D-A5CF-44CD2133BB98}"/>
            </a:ext>
          </a:extLst>
        </xdr:cNvPr>
        <xdr:cNvSpPr/>
      </xdr:nvSpPr>
      <xdr:spPr>
        <a:xfrm>
          <a:off x="5991224" y="161925"/>
          <a:ext cx="2371726" cy="990600"/>
        </a:xfrm>
        <a:prstGeom prst="rect">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200025</xdr:colOff>
      <xdr:row>0</xdr:row>
      <xdr:rowOff>180975</xdr:rowOff>
    </xdr:from>
    <xdr:to>
      <xdr:col>18</xdr:col>
      <xdr:colOff>247650</xdr:colOff>
      <xdr:row>6</xdr:row>
      <xdr:rowOff>28575</xdr:rowOff>
    </xdr:to>
    <xdr:sp macro="" textlink="">
      <xdr:nvSpPr>
        <xdr:cNvPr id="15" name="Rectangle 14">
          <a:extLst>
            <a:ext uri="{FF2B5EF4-FFF2-40B4-BE49-F238E27FC236}">
              <a16:creationId xmlns:a16="http://schemas.microsoft.com/office/drawing/2014/main" id="{D3DD1F08-7085-48BE-BACC-460BAB5B4AD0}"/>
            </a:ext>
          </a:extLst>
        </xdr:cNvPr>
        <xdr:cNvSpPr/>
      </xdr:nvSpPr>
      <xdr:spPr>
        <a:xfrm>
          <a:off x="9344025" y="180975"/>
          <a:ext cx="1876425" cy="990600"/>
        </a:xfrm>
        <a:prstGeom prst="rect">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190500</xdr:colOff>
      <xdr:row>7</xdr:row>
      <xdr:rowOff>66675</xdr:rowOff>
    </xdr:from>
    <xdr:to>
      <xdr:col>10</xdr:col>
      <xdr:colOff>447675</xdr:colOff>
      <xdr:row>20</xdr:row>
      <xdr:rowOff>161924</xdr:rowOff>
    </xdr:to>
    <xdr:sp macro="" textlink="">
      <xdr:nvSpPr>
        <xdr:cNvPr id="16" name="Rectangle: Rounded Corners 15">
          <a:extLst>
            <a:ext uri="{FF2B5EF4-FFF2-40B4-BE49-F238E27FC236}">
              <a16:creationId xmlns:a16="http://schemas.microsoft.com/office/drawing/2014/main" id="{013DA87E-6166-4A31-AAED-01DF4CF4370C}"/>
            </a:ext>
          </a:extLst>
        </xdr:cNvPr>
        <xdr:cNvSpPr/>
      </xdr:nvSpPr>
      <xdr:spPr>
        <a:xfrm>
          <a:off x="2628900" y="1400175"/>
          <a:ext cx="3914775" cy="2571749"/>
        </a:xfrm>
        <a:prstGeom prst="roundRect">
          <a:avLst>
            <a:gd name="adj" fmla="val 7037"/>
          </a:avLst>
        </a:prstGeom>
        <a:solidFill>
          <a:schemeClr val="accent5">
            <a:lumMod val="40000"/>
            <a:lumOff val="60000"/>
          </a:schemeClr>
        </a:solidFill>
        <a:ln>
          <a:solidFill>
            <a:schemeClr val="accent5">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438150</xdr:colOff>
      <xdr:row>4</xdr:row>
      <xdr:rowOff>57150</xdr:rowOff>
    </xdr:from>
    <xdr:to>
      <xdr:col>3</xdr:col>
      <xdr:colOff>171449</xdr:colOff>
      <xdr:row>9</xdr:row>
      <xdr:rowOff>19050</xdr:rowOff>
    </xdr:to>
    <xdr:pic>
      <xdr:nvPicPr>
        <xdr:cNvPr id="18" name="Picture 17">
          <a:extLst>
            <a:ext uri="{FF2B5EF4-FFF2-40B4-BE49-F238E27FC236}">
              <a16:creationId xmlns:a16="http://schemas.microsoft.com/office/drawing/2014/main" id="{F7E5947C-5244-3CAE-1116-55232E885C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0" y="819150"/>
          <a:ext cx="952499" cy="914400"/>
        </a:xfrm>
        <a:prstGeom prst="rect">
          <a:avLst/>
        </a:prstGeom>
      </xdr:spPr>
    </xdr:pic>
    <xdr:clientData/>
  </xdr:twoCellAnchor>
  <xdr:twoCellAnchor>
    <xdr:from>
      <xdr:col>1</xdr:col>
      <xdr:colOff>219075</xdr:colOff>
      <xdr:row>0</xdr:row>
      <xdr:rowOff>85724</xdr:rowOff>
    </xdr:from>
    <xdr:to>
      <xdr:col>3</xdr:col>
      <xdr:colOff>571500</xdr:colOff>
      <xdr:row>4</xdr:row>
      <xdr:rowOff>66675</xdr:rowOff>
    </xdr:to>
    <xdr:sp macro="" textlink="">
      <xdr:nvSpPr>
        <xdr:cNvPr id="19" name="TextBox 18">
          <a:extLst>
            <a:ext uri="{FF2B5EF4-FFF2-40B4-BE49-F238E27FC236}">
              <a16:creationId xmlns:a16="http://schemas.microsoft.com/office/drawing/2014/main" id="{D9B074A0-72F1-145B-3C1C-571CA56BD032}"/>
            </a:ext>
          </a:extLst>
        </xdr:cNvPr>
        <xdr:cNvSpPr txBox="1"/>
      </xdr:nvSpPr>
      <xdr:spPr>
        <a:xfrm>
          <a:off x="219075" y="85724"/>
          <a:ext cx="1571625" cy="74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    </a:t>
          </a:r>
          <a:r>
            <a:rPr lang="en-US" sz="2000" b="1">
              <a:solidFill>
                <a:schemeClr val="bg1"/>
              </a:solidFill>
            </a:rPr>
            <a:t>Palmoria </a:t>
          </a:r>
        </a:p>
        <a:p>
          <a:r>
            <a:rPr lang="en-US" sz="2000" b="1">
              <a:solidFill>
                <a:schemeClr val="bg1"/>
              </a:solidFill>
            </a:rPr>
            <a:t>  HR Analysis</a:t>
          </a:r>
        </a:p>
      </xdr:txBody>
    </xdr:sp>
    <xdr:clientData/>
  </xdr:twoCellAnchor>
  <xdr:twoCellAnchor>
    <xdr:from>
      <xdr:col>4</xdr:col>
      <xdr:colOff>257176</xdr:colOff>
      <xdr:row>7</xdr:row>
      <xdr:rowOff>114301</xdr:rowOff>
    </xdr:from>
    <xdr:to>
      <xdr:col>10</xdr:col>
      <xdr:colOff>352426</xdr:colOff>
      <xdr:row>20</xdr:row>
      <xdr:rowOff>19051</xdr:rowOff>
    </xdr:to>
    <xdr:graphicFrame macro="">
      <xdr:nvGraphicFramePr>
        <xdr:cNvPr id="20" name="Chart 19">
          <a:extLst>
            <a:ext uri="{FF2B5EF4-FFF2-40B4-BE49-F238E27FC236}">
              <a16:creationId xmlns:a16="http://schemas.microsoft.com/office/drawing/2014/main" id="{BC7BAD32-B449-4C82-A757-1EA1563ED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xdr:colOff>
      <xdr:row>7</xdr:row>
      <xdr:rowOff>95251</xdr:rowOff>
    </xdr:from>
    <xdr:to>
      <xdr:col>19</xdr:col>
      <xdr:colOff>38100</xdr:colOff>
      <xdr:row>20</xdr:row>
      <xdr:rowOff>114301</xdr:rowOff>
    </xdr:to>
    <xdr:graphicFrame macro="">
      <xdr:nvGraphicFramePr>
        <xdr:cNvPr id="21" name="Chart 20">
          <a:extLst>
            <a:ext uri="{FF2B5EF4-FFF2-40B4-BE49-F238E27FC236}">
              <a16:creationId xmlns:a16="http://schemas.microsoft.com/office/drawing/2014/main" id="{4188B681-6BF4-42EE-A466-2BC7DC80F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361950</xdr:colOff>
      <xdr:row>21</xdr:row>
      <xdr:rowOff>114300</xdr:rowOff>
    </xdr:from>
    <xdr:to>
      <xdr:col>11</xdr:col>
      <xdr:colOff>19050</xdr:colOff>
      <xdr:row>34</xdr:row>
      <xdr:rowOff>76199</xdr:rowOff>
    </xdr:to>
    <xdr:graphicFrame macro="">
      <xdr:nvGraphicFramePr>
        <xdr:cNvPr id="22" name="Chart 21">
          <a:extLst>
            <a:ext uri="{FF2B5EF4-FFF2-40B4-BE49-F238E27FC236}">
              <a16:creationId xmlns:a16="http://schemas.microsoft.com/office/drawing/2014/main" id="{8F0EC7FC-F178-41B0-B49E-1613E0B9D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190500</xdr:colOff>
      <xdr:row>21</xdr:row>
      <xdr:rowOff>161925</xdr:rowOff>
    </xdr:from>
    <xdr:to>
      <xdr:col>19</xdr:col>
      <xdr:colOff>19050</xdr:colOff>
      <xdr:row>34</xdr:row>
      <xdr:rowOff>180975</xdr:rowOff>
    </xdr:to>
    <xdr:graphicFrame macro="">
      <xdr:nvGraphicFramePr>
        <xdr:cNvPr id="4" name="Chart 3">
          <a:extLst>
            <a:ext uri="{FF2B5EF4-FFF2-40B4-BE49-F238E27FC236}">
              <a16:creationId xmlns:a16="http://schemas.microsoft.com/office/drawing/2014/main" id="{24791494-DE84-4C55-A272-9FB7C94C2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114299</xdr:colOff>
      <xdr:row>10</xdr:row>
      <xdr:rowOff>47624</xdr:rowOff>
    </xdr:from>
    <xdr:to>
      <xdr:col>4</xdr:col>
      <xdr:colOff>47624</xdr:colOff>
      <xdr:row>15</xdr:row>
      <xdr:rowOff>0</xdr:rowOff>
    </xdr:to>
    <mc:AlternateContent xmlns:mc="http://schemas.openxmlformats.org/markup-compatibility/2006" xmlns:a14="http://schemas.microsoft.com/office/drawing/2010/main">
      <mc:Choice Requires="a14">
        <xdr:graphicFrame macro="">
          <xdr:nvGraphicFramePr>
            <xdr:cNvPr id="17" name="Gender 3">
              <a:extLst>
                <a:ext uri="{FF2B5EF4-FFF2-40B4-BE49-F238E27FC236}">
                  <a16:creationId xmlns:a16="http://schemas.microsoft.com/office/drawing/2014/main" id="{76333080-723A-4F91-9794-4D32215AF25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23899" y="1952624"/>
              <a:ext cx="1762125" cy="904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123825</xdr:colOff>
      <xdr:row>14</xdr:row>
      <xdr:rowOff>57150</xdr:rowOff>
    </xdr:from>
    <xdr:to>
      <xdr:col>4</xdr:col>
      <xdr:colOff>57150</xdr:colOff>
      <xdr:row>20</xdr:row>
      <xdr:rowOff>161925</xdr:rowOff>
    </xdr:to>
    <mc:AlternateContent xmlns:mc="http://schemas.openxmlformats.org/markup-compatibility/2006" xmlns:a14="http://schemas.microsoft.com/office/drawing/2010/main">
      <mc:Choice Requires="a14">
        <xdr:graphicFrame macro="">
          <xdr:nvGraphicFramePr>
            <xdr:cNvPr id="24" name="Rating 4">
              <a:extLst>
                <a:ext uri="{FF2B5EF4-FFF2-40B4-BE49-F238E27FC236}">
                  <a16:creationId xmlns:a16="http://schemas.microsoft.com/office/drawing/2014/main" id="{B4902D74-BDBF-495A-AEE4-C668C9A3A61D}"/>
                </a:ext>
              </a:extLst>
            </xdr:cNvPr>
            <xdr:cNvGraphicFramePr/>
          </xdr:nvGraphicFramePr>
          <xdr:xfrm>
            <a:off x="0" y="0"/>
            <a:ext cx="0" cy="0"/>
          </xdr:xfrm>
          <a:graphic>
            <a:graphicData uri="http://schemas.microsoft.com/office/drawing/2010/slicer">
              <sle:slicer xmlns:sle="http://schemas.microsoft.com/office/drawing/2010/slicer" name="Rating 4"/>
            </a:graphicData>
          </a:graphic>
        </xdr:graphicFrame>
      </mc:Choice>
      <mc:Fallback xmlns="">
        <xdr:sp macro="" textlink="">
          <xdr:nvSpPr>
            <xdr:cNvPr id="0" name=""/>
            <xdr:cNvSpPr>
              <a:spLocks noTextEdit="1"/>
            </xdr:cNvSpPr>
          </xdr:nvSpPr>
          <xdr:spPr>
            <a:xfrm>
              <a:off x="733425" y="2724150"/>
              <a:ext cx="17621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123824</xdr:colOff>
      <xdr:row>23</xdr:row>
      <xdr:rowOff>180976</xdr:rowOff>
    </xdr:from>
    <xdr:to>
      <xdr:col>4</xdr:col>
      <xdr:colOff>47624</xdr:colOff>
      <xdr:row>28</xdr:row>
      <xdr:rowOff>38100</xdr:rowOff>
    </xdr:to>
    <mc:AlternateContent xmlns:mc="http://schemas.openxmlformats.org/markup-compatibility/2006" xmlns:a14="http://schemas.microsoft.com/office/drawing/2010/main">
      <mc:Choice Requires="a14">
        <xdr:graphicFrame macro="">
          <xdr:nvGraphicFramePr>
            <xdr:cNvPr id="25" name="Location 3">
              <a:extLst>
                <a:ext uri="{FF2B5EF4-FFF2-40B4-BE49-F238E27FC236}">
                  <a16:creationId xmlns:a16="http://schemas.microsoft.com/office/drawing/2014/main" id="{FC517B2E-F117-4871-A1F1-DA541C07A7D3}"/>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733424" y="4562476"/>
              <a:ext cx="1752600" cy="809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561975</xdr:colOff>
      <xdr:row>9</xdr:row>
      <xdr:rowOff>38100</xdr:rowOff>
    </xdr:from>
    <xdr:to>
      <xdr:col>21</xdr:col>
      <xdr:colOff>47625</xdr:colOff>
      <xdr:row>13</xdr:row>
      <xdr:rowOff>28575</xdr:rowOff>
    </xdr:to>
    <xdr:pic>
      <xdr:nvPicPr>
        <xdr:cNvPr id="27" name="Picture 26">
          <a:extLst>
            <a:ext uri="{FF2B5EF4-FFF2-40B4-BE49-F238E27FC236}">
              <a16:creationId xmlns:a16="http://schemas.microsoft.com/office/drawing/2014/main" id="{FF8A86BF-9E9C-43F9-A67B-F8B8EE1B9627}"/>
            </a:ext>
          </a:extLst>
        </xdr:cNvPr>
        <xdr:cNvPicPr>
          <a:picLocks noChangeAspect="1"/>
        </xdr:cNvPicPr>
      </xdr:nvPicPr>
      <xdr:blipFill>
        <a:blip xmlns:r="http://schemas.openxmlformats.org/officeDocument/2006/relationships" r:embed="rId6"/>
        <a:stretch>
          <a:fillRect/>
        </a:stretch>
      </xdr:blipFill>
      <xdr:spPr>
        <a:xfrm>
          <a:off x="12144375" y="1752600"/>
          <a:ext cx="704850" cy="752475"/>
        </a:xfrm>
        <a:prstGeom prst="rect">
          <a:avLst/>
        </a:prstGeom>
      </xdr:spPr>
    </xdr:pic>
    <xdr:clientData/>
  </xdr:twoCellAnchor>
  <xdr:twoCellAnchor editAs="oneCell">
    <xdr:from>
      <xdr:col>19</xdr:col>
      <xdr:colOff>504824</xdr:colOff>
      <xdr:row>15</xdr:row>
      <xdr:rowOff>171449</xdr:rowOff>
    </xdr:from>
    <xdr:to>
      <xdr:col>21</xdr:col>
      <xdr:colOff>28575</xdr:colOff>
      <xdr:row>19</xdr:row>
      <xdr:rowOff>152400</xdr:rowOff>
    </xdr:to>
    <xdr:pic>
      <xdr:nvPicPr>
        <xdr:cNvPr id="29" name="Picture 28">
          <a:extLst>
            <a:ext uri="{FF2B5EF4-FFF2-40B4-BE49-F238E27FC236}">
              <a16:creationId xmlns:a16="http://schemas.microsoft.com/office/drawing/2014/main" id="{F4640EDD-7FE3-44BF-85C0-4720764D59F5}"/>
            </a:ext>
          </a:extLst>
        </xdr:cNvPr>
        <xdr:cNvPicPr>
          <a:picLocks noChangeAspect="1"/>
        </xdr:cNvPicPr>
      </xdr:nvPicPr>
      <xdr:blipFill>
        <a:blip xmlns:r="http://schemas.openxmlformats.org/officeDocument/2006/relationships" r:embed="rId7"/>
        <a:stretch>
          <a:fillRect/>
        </a:stretch>
      </xdr:blipFill>
      <xdr:spPr>
        <a:xfrm>
          <a:off x="12087224" y="3028949"/>
          <a:ext cx="742951" cy="742951"/>
        </a:xfrm>
        <a:prstGeom prst="rect">
          <a:avLst/>
        </a:prstGeom>
      </xdr:spPr>
    </xdr:pic>
    <xdr:clientData/>
  </xdr:twoCellAnchor>
  <xdr:twoCellAnchor editAs="oneCell">
    <xdr:from>
      <xdr:col>5</xdr:col>
      <xdr:colOff>47625</xdr:colOff>
      <xdr:row>1</xdr:row>
      <xdr:rowOff>76200</xdr:rowOff>
    </xdr:from>
    <xdr:to>
      <xdr:col>6</xdr:col>
      <xdr:colOff>243987</xdr:colOff>
      <xdr:row>5</xdr:row>
      <xdr:rowOff>152400</xdr:rowOff>
    </xdr:to>
    <xdr:pic>
      <xdr:nvPicPr>
        <xdr:cNvPr id="30" name="Picture 29">
          <a:extLst>
            <a:ext uri="{FF2B5EF4-FFF2-40B4-BE49-F238E27FC236}">
              <a16:creationId xmlns:a16="http://schemas.microsoft.com/office/drawing/2014/main" id="{B50173B5-3DED-49B6-BEE5-C7F29EE8A61D}"/>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saturation sat="200000"/>
                  </a14:imgEffect>
                </a14:imgLayer>
              </a14:imgProps>
            </a:ext>
            <a:ext uri="{28A0092B-C50C-407E-A947-70E740481C1C}">
              <a14:useLocalDpi xmlns:a14="http://schemas.microsoft.com/office/drawing/2010/main" val="0"/>
            </a:ext>
          </a:extLst>
        </a:blip>
        <a:stretch>
          <a:fillRect/>
        </a:stretch>
      </xdr:blipFill>
      <xdr:spPr>
        <a:xfrm>
          <a:off x="3095625" y="266700"/>
          <a:ext cx="805962" cy="838200"/>
        </a:xfrm>
        <a:prstGeom prst="rect">
          <a:avLst/>
        </a:prstGeom>
      </xdr:spPr>
    </xdr:pic>
    <xdr:clientData/>
  </xdr:twoCellAnchor>
  <xdr:twoCellAnchor>
    <xdr:from>
      <xdr:col>6</xdr:col>
      <xdr:colOff>171449</xdr:colOff>
      <xdr:row>0</xdr:row>
      <xdr:rowOff>161926</xdr:rowOff>
    </xdr:from>
    <xdr:to>
      <xdr:col>8</xdr:col>
      <xdr:colOff>47625</xdr:colOff>
      <xdr:row>4</xdr:row>
      <xdr:rowOff>85725</xdr:rowOff>
    </xdr:to>
    <xdr:sp macro="" textlink="Aggregates!B3">
      <xdr:nvSpPr>
        <xdr:cNvPr id="31" name="TextBox 30">
          <a:extLst>
            <a:ext uri="{FF2B5EF4-FFF2-40B4-BE49-F238E27FC236}">
              <a16:creationId xmlns:a16="http://schemas.microsoft.com/office/drawing/2014/main" id="{7E1E27CA-16D1-4C75-A9D8-CC0251E51136}"/>
            </a:ext>
          </a:extLst>
        </xdr:cNvPr>
        <xdr:cNvSpPr txBox="1"/>
      </xdr:nvSpPr>
      <xdr:spPr>
        <a:xfrm>
          <a:off x="3829049" y="161926"/>
          <a:ext cx="1095376" cy="685799"/>
        </a:xfrm>
        <a:prstGeom prst="roundRect">
          <a:avLst>
            <a:gd name="adj" fmla="val 10785"/>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0605D-2146-4CAB-BAC0-BF7A0A9BA96D}" type="TxLink">
            <a:rPr lang="en-US" sz="2800" b="1" i="0" u="none" strike="noStrike">
              <a:solidFill>
                <a:sysClr val="windowText" lastClr="000000"/>
              </a:solidFill>
              <a:latin typeface="Segoe UI Semibold" panose="020B0702040204020203" pitchFamily="34" charset="0"/>
              <a:cs typeface="Segoe UI Semibold" panose="020B0702040204020203" pitchFamily="34" charset="0"/>
            </a:rPr>
            <a:pPr algn="ctr"/>
            <a:t>874</a:t>
          </a:fld>
          <a:endParaRPr lang="en-US" sz="28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171450</xdr:colOff>
      <xdr:row>4</xdr:row>
      <xdr:rowOff>76200</xdr:rowOff>
    </xdr:from>
    <xdr:to>
      <xdr:col>8</xdr:col>
      <xdr:colOff>171450</xdr:colOff>
      <xdr:row>6</xdr:row>
      <xdr:rowOff>0</xdr:rowOff>
    </xdr:to>
    <xdr:sp macro="" textlink="">
      <xdr:nvSpPr>
        <xdr:cNvPr id="32" name="TextBox 31">
          <a:extLst>
            <a:ext uri="{FF2B5EF4-FFF2-40B4-BE49-F238E27FC236}">
              <a16:creationId xmlns:a16="http://schemas.microsoft.com/office/drawing/2014/main" id="{A66126AD-1526-379B-92FF-091113BB5ECA}"/>
            </a:ext>
          </a:extLst>
        </xdr:cNvPr>
        <xdr:cNvSpPr txBox="1"/>
      </xdr:nvSpPr>
      <xdr:spPr>
        <a:xfrm>
          <a:off x="3829050" y="83820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latin typeface="Segoe UI Semibold" panose="020B0702040204020203" pitchFamily="34" charset="0"/>
              <a:cs typeface="Segoe UI Semibold" panose="020B0702040204020203" pitchFamily="34" charset="0"/>
            </a:rPr>
            <a:t>Total Employees</a:t>
          </a:r>
        </a:p>
      </xdr:txBody>
    </xdr:sp>
    <xdr:clientData/>
  </xdr:twoCellAnchor>
  <xdr:twoCellAnchor editAs="oneCell">
    <xdr:from>
      <xdr:col>19</xdr:col>
      <xdr:colOff>380999</xdr:colOff>
      <xdr:row>28</xdr:row>
      <xdr:rowOff>133350</xdr:rowOff>
    </xdr:from>
    <xdr:to>
      <xdr:col>20</xdr:col>
      <xdr:colOff>535818</xdr:colOff>
      <xdr:row>32</xdr:row>
      <xdr:rowOff>123825</xdr:rowOff>
    </xdr:to>
    <xdr:pic>
      <xdr:nvPicPr>
        <xdr:cNvPr id="33" name="Picture 32" descr="Department ">
          <a:extLst>
            <a:ext uri="{FF2B5EF4-FFF2-40B4-BE49-F238E27FC236}">
              <a16:creationId xmlns:a16="http://schemas.microsoft.com/office/drawing/2014/main" id="{7640669B-66B6-49FD-8726-4128102EF59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963399" y="5467350"/>
          <a:ext cx="764419"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57151</xdr:colOff>
      <xdr:row>1</xdr:row>
      <xdr:rowOff>85726</xdr:rowOff>
    </xdr:from>
    <xdr:to>
      <xdr:col>10</xdr:col>
      <xdr:colOff>133350</xdr:colOff>
      <xdr:row>5</xdr:row>
      <xdr:rowOff>9525</xdr:rowOff>
    </xdr:to>
    <xdr:pic>
      <xdr:nvPicPr>
        <xdr:cNvPr id="35" name="Picture 34">
          <a:extLst>
            <a:ext uri="{FF2B5EF4-FFF2-40B4-BE49-F238E27FC236}">
              <a16:creationId xmlns:a16="http://schemas.microsoft.com/office/drawing/2014/main" id="{4ADB803D-D0AE-4EBD-89F1-B36D0EE021A2}"/>
            </a:ext>
          </a:extLst>
        </xdr:cNvPr>
        <xdr:cNvPicPr>
          <a:picLocks noChangeAspect="1"/>
        </xdr:cNvPicPr>
      </xdr:nvPicPr>
      <xdr:blipFill>
        <a:blip xmlns:r="http://schemas.openxmlformats.org/officeDocument/2006/relationships" r:embed="rId11"/>
        <a:stretch>
          <a:fillRect/>
        </a:stretch>
      </xdr:blipFill>
      <xdr:spPr>
        <a:xfrm>
          <a:off x="5543551" y="276226"/>
          <a:ext cx="685799" cy="685799"/>
        </a:xfrm>
        <a:prstGeom prst="rect">
          <a:avLst/>
        </a:prstGeom>
      </xdr:spPr>
    </xdr:pic>
    <xdr:clientData/>
  </xdr:twoCellAnchor>
  <xdr:twoCellAnchor editAs="oneCell">
    <xdr:from>
      <xdr:col>1</xdr:col>
      <xdr:colOff>123824</xdr:colOff>
      <xdr:row>20</xdr:row>
      <xdr:rowOff>28575</xdr:rowOff>
    </xdr:from>
    <xdr:to>
      <xdr:col>4</xdr:col>
      <xdr:colOff>57149</xdr:colOff>
      <xdr:row>23</xdr:row>
      <xdr:rowOff>180975</xdr:rowOff>
    </xdr:to>
    <mc:AlternateContent xmlns:mc="http://schemas.openxmlformats.org/markup-compatibility/2006" xmlns:a14="http://schemas.microsoft.com/office/drawing/2010/main">
      <mc:Choice Requires="a14">
        <xdr:graphicFrame macro="">
          <xdr:nvGraphicFramePr>
            <xdr:cNvPr id="37" name="Meet minimun 1">
              <a:extLst>
                <a:ext uri="{FF2B5EF4-FFF2-40B4-BE49-F238E27FC236}">
                  <a16:creationId xmlns:a16="http://schemas.microsoft.com/office/drawing/2014/main" id="{596709B1-E007-494F-95F2-25DAA8926CD7}"/>
                </a:ext>
              </a:extLst>
            </xdr:cNvPr>
            <xdr:cNvGraphicFramePr/>
          </xdr:nvGraphicFramePr>
          <xdr:xfrm>
            <a:off x="0" y="0"/>
            <a:ext cx="0" cy="0"/>
          </xdr:xfrm>
          <a:graphic>
            <a:graphicData uri="http://schemas.microsoft.com/office/drawing/2010/slicer">
              <sle:slicer xmlns:sle="http://schemas.microsoft.com/office/drawing/2010/slicer" name="Meet minimun 1"/>
            </a:graphicData>
          </a:graphic>
        </xdr:graphicFrame>
      </mc:Choice>
      <mc:Fallback xmlns="">
        <xdr:sp macro="" textlink="">
          <xdr:nvSpPr>
            <xdr:cNvPr id="0" name=""/>
            <xdr:cNvSpPr>
              <a:spLocks noTextEdit="1"/>
            </xdr:cNvSpPr>
          </xdr:nvSpPr>
          <xdr:spPr>
            <a:xfrm>
              <a:off x="733424" y="3838575"/>
              <a:ext cx="17621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504824</xdr:colOff>
      <xdr:row>0</xdr:row>
      <xdr:rowOff>161925</xdr:rowOff>
    </xdr:from>
    <xdr:to>
      <xdr:col>13</xdr:col>
      <xdr:colOff>352425</xdr:colOff>
      <xdr:row>4</xdr:row>
      <xdr:rowOff>161925</xdr:rowOff>
    </xdr:to>
    <xdr:sp macro="" textlink="Aggregates!K8">
      <xdr:nvSpPr>
        <xdr:cNvPr id="38" name="Rectangle: Rounded Corners 37">
          <a:extLst>
            <a:ext uri="{FF2B5EF4-FFF2-40B4-BE49-F238E27FC236}">
              <a16:creationId xmlns:a16="http://schemas.microsoft.com/office/drawing/2014/main" id="{E319D474-0D67-42BD-AADF-1D50F6D525BB}"/>
            </a:ext>
          </a:extLst>
        </xdr:cNvPr>
        <xdr:cNvSpPr/>
      </xdr:nvSpPr>
      <xdr:spPr>
        <a:xfrm>
          <a:off x="5991224" y="161925"/>
          <a:ext cx="2286001" cy="762000"/>
        </a:xfrm>
        <a:prstGeom prst="roundRect">
          <a:avLst>
            <a:gd name="adj" fmla="val 926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8E3DBE-0914-4041-997B-CD50934CA3EE}" type="TxLink">
            <a:rPr lang="en-US" sz="2000" b="1" i="0" u="none" strike="noStrike">
              <a:solidFill>
                <a:sysClr val="windowText" lastClr="000000"/>
              </a:solidFill>
              <a:latin typeface="Segoe UI Semibold" panose="020B0702040204020203" pitchFamily="34" charset="0"/>
              <a:cs typeface="Segoe UI Semibold" panose="020B0702040204020203" pitchFamily="34" charset="0"/>
            </a:rPr>
            <a:pPr algn="ctr"/>
            <a:t>₦ 66,559,937.97</a:t>
          </a:fld>
          <a:endParaRPr lang="en-US" sz="20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571501</xdr:colOff>
      <xdr:row>4</xdr:row>
      <xdr:rowOff>9525</xdr:rowOff>
    </xdr:from>
    <xdr:to>
      <xdr:col>13</xdr:col>
      <xdr:colOff>466725</xdr:colOff>
      <xdr:row>5</xdr:row>
      <xdr:rowOff>123825</xdr:rowOff>
    </xdr:to>
    <xdr:sp macro="" textlink="">
      <xdr:nvSpPr>
        <xdr:cNvPr id="39" name="TextBox 38">
          <a:extLst>
            <a:ext uri="{FF2B5EF4-FFF2-40B4-BE49-F238E27FC236}">
              <a16:creationId xmlns:a16="http://schemas.microsoft.com/office/drawing/2014/main" id="{5D44B8AD-BA40-4393-8C2C-1C9BF968FD4C}"/>
            </a:ext>
          </a:extLst>
        </xdr:cNvPr>
        <xdr:cNvSpPr txBox="1"/>
      </xdr:nvSpPr>
      <xdr:spPr>
        <a:xfrm>
          <a:off x="6057901" y="771525"/>
          <a:ext cx="23336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latin typeface="Segoe UI Semibold" panose="020B0702040204020203" pitchFamily="34" charset="0"/>
              <a:cs typeface="Segoe UI Semibold" panose="020B0702040204020203" pitchFamily="34" charset="0"/>
            </a:rPr>
            <a:t>Total Salary</a:t>
          </a:r>
          <a:r>
            <a:rPr lang="en-US" sz="1050" baseline="0">
              <a:latin typeface="Segoe UI Semibold" panose="020B0702040204020203" pitchFamily="34" charset="0"/>
              <a:cs typeface="Segoe UI Semibold" panose="020B0702040204020203" pitchFamily="34" charset="0"/>
            </a:rPr>
            <a:t> (Bonus Inclusive)</a:t>
          </a:r>
          <a:endParaRPr lang="en-US" sz="105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371475</xdr:colOff>
      <xdr:row>1</xdr:row>
      <xdr:rowOff>142875</xdr:rowOff>
    </xdr:from>
    <xdr:to>
      <xdr:col>15</xdr:col>
      <xdr:colOff>428625</xdr:colOff>
      <xdr:row>5</xdr:row>
      <xdr:rowOff>28575</xdr:rowOff>
    </xdr:to>
    <xdr:pic>
      <xdr:nvPicPr>
        <xdr:cNvPr id="41" name="Picture 40">
          <a:extLst>
            <a:ext uri="{FF2B5EF4-FFF2-40B4-BE49-F238E27FC236}">
              <a16:creationId xmlns:a16="http://schemas.microsoft.com/office/drawing/2014/main" id="{80B32AFD-B101-4B91-8F40-1901F9DF1669}"/>
            </a:ext>
          </a:extLst>
        </xdr:cNvPr>
        <xdr:cNvPicPr>
          <a:picLocks noChangeAspect="1"/>
        </xdr:cNvPicPr>
      </xdr:nvPicPr>
      <xdr:blipFill>
        <a:blip xmlns:r="http://schemas.openxmlformats.org/officeDocument/2006/relationships" r:embed="rId12"/>
        <a:stretch>
          <a:fillRect/>
        </a:stretch>
      </xdr:blipFill>
      <xdr:spPr>
        <a:xfrm>
          <a:off x="8905875" y="333375"/>
          <a:ext cx="666750" cy="647700"/>
        </a:xfrm>
        <a:prstGeom prst="rect">
          <a:avLst/>
        </a:prstGeom>
      </xdr:spPr>
    </xdr:pic>
    <xdr:clientData/>
  </xdr:twoCellAnchor>
  <xdr:twoCellAnchor>
    <xdr:from>
      <xdr:col>15</xdr:col>
      <xdr:colOff>314324</xdr:colOff>
      <xdr:row>4</xdr:row>
      <xdr:rowOff>66675</xdr:rowOff>
    </xdr:from>
    <xdr:to>
      <xdr:col>18</xdr:col>
      <xdr:colOff>57149</xdr:colOff>
      <xdr:row>5</xdr:row>
      <xdr:rowOff>180975</xdr:rowOff>
    </xdr:to>
    <xdr:sp macro="" textlink="">
      <xdr:nvSpPr>
        <xdr:cNvPr id="42" name="TextBox 41">
          <a:extLst>
            <a:ext uri="{FF2B5EF4-FFF2-40B4-BE49-F238E27FC236}">
              <a16:creationId xmlns:a16="http://schemas.microsoft.com/office/drawing/2014/main" id="{1845A8FA-F255-4FE9-9593-F06914336782}"/>
            </a:ext>
          </a:extLst>
        </xdr:cNvPr>
        <xdr:cNvSpPr txBox="1"/>
      </xdr:nvSpPr>
      <xdr:spPr>
        <a:xfrm>
          <a:off x="9458324" y="828675"/>
          <a:ext cx="1571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cs typeface="Segoe UI Semibold" panose="020B0702040204020203" pitchFamily="34" charset="0"/>
            </a:rPr>
            <a:t>Total Salary</a:t>
          </a:r>
        </a:p>
      </xdr:txBody>
    </xdr:sp>
    <xdr:clientData/>
  </xdr:twoCellAnchor>
  <xdr:twoCellAnchor>
    <xdr:from>
      <xdr:col>15</xdr:col>
      <xdr:colOff>209550</xdr:colOff>
      <xdr:row>0</xdr:row>
      <xdr:rowOff>161925</xdr:rowOff>
    </xdr:from>
    <xdr:to>
      <xdr:col>18</xdr:col>
      <xdr:colOff>209550</xdr:colOff>
      <xdr:row>4</xdr:row>
      <xdr:rowOff>104775</xdr:rowOff>
    </xdr:to>
    <xdr:sp macro="" textlink="Aggregates!K3">
      <xdr:nvSpPr>
        <xdr:cNvPr id="43" name="Rectangle: Rounded Corners 42">
          <a:extLst>
            <a:ext uri="{FF2B5EF4-FFF2-40B4-BE49-F238E27FC236}">
              <a16:creationId xmlns:a16="http://schemas.microsoft.com/office/drawing/2014/main" id="{457B25DB-A914-4645-A631-AF29EB011800}"/>
            </a:ext>
          </a:extLst>
        </xdr:cNvPr>
        <xdr:cNvSpPr/>
      </xdr:nvSpPr>
      <xdr:spPr>
        <a:xfrm>
          <a:off x="9353550" y="161925"/>
          <a:ext cx="1828800" cy="704850"/>
        </a:xfrm>
        <a:prstGeom prst="roundRect">
          <a:avLst>
            <a:gd name="adj" fmla="val 926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367368-898F-4BDC-BFDA-B8D3A06D642C}" type="TxLink">
            <a:rPr lang="en-US" sz="2000" b="1" i="0" u="none" strike="noStrike">
              <a:solidFill>
                <a:sysClr val="windowText" lastClr="000000"/>
              </a:solidFill>
              <a:latin typeface="Segoe UI Semibold" panose="020B0702040204020203" pitchFamily="34" charset="0"/>
              <a:cs typeface="Segoe UI Semibold" panose="020B0702040204020203" pitchFamily="34" charset="0"/>
            </a:rPr>
            <a:pPr algn="ctr"/>
            <a:t>₦ 64,528,740</a:t>
          </a:fld>
          <a:endParaRPr lang="en-US" sz="20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466724</xdr:colOff>
      <xdr:row>8</xdr:row>
      <xdr:rowOff>85725</xdr:rowOff>
    </xdr:from>
    <xdr:to>
      <xdr:col>22</xdr:col>
      <xdr:colOff>571499</xdr:colOff>
      <xdr:row>12</xdr:row>
      <xdr:rowOff>123825</xdr:rowOff>
    </xdr:to>
    <xdr:sp macro="" textlink="Aggregates!$C$9">
      <xdr:nvSpPr>
        <xdr:cNvPr id="44" name="Rectangle: Rounded Corners 43">
          <a:extLst>
            <a:ext uri="{FF2B5EF4-FFF2-40B4-BE49-F238E27FC236}">
              <a16:creationId xmlns:a16="http://schemas.microsoft.com/office/drawing/2014/main" id="{9D59D912-D4F6-4F13-9F37-E29DCD291ED9}"/>
            </a:ext>
          </a:extLst>
        </xdr:cNvPr>
        <xdr:cNvSpPr/>
      </xdr:nvSpPr>
      <xdr:spPr>
        <a:xfrm>
          <a:off x="12658724" y="1609725"/>
          <a:ext cx="1323975" cy="800100"/>
        </a:xfrm>
        <a:prstGeom prst="roundRect">
          <a:avLst>
            <a:gd name="adj" fmla="val 920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75A565-0FFB-4303-A0E8-4A169F167363}" type="TxLink">
            <a:rPr lang="en-US" sz="2000" b="1" i="0" u="none" strike="noStrike">
              <a:solidFill>
                <a:sysClr val="windowText" lastClr="000000"/>
              </a:solidFill>
              <a:latin typeface="Segoe UI Semibold" panose="020B0702040204020203" pitchFamily="34" charset="0"/>
              <a:cs typeface="Segoe UI Semibold" panose="020B0702040204020203" pitchFamily="34" charset="0"/>
            </a:rPr>
            <a:pPr algn="ctr"/>
            <a:t>49.20%</a:t>
          </a:fld>
          <a:endParaRPr lang="en-US" sz="20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285749</xdr:colOff>
      <xdr:row>11</xdr:row>
      <xdr:rowOff>85725</xdr:rowOff>
    </xdr:from>
    <xdr:to>
      <xdr:col>23</xdr:col>
      <xdr:colOff>28574</xdr:colOff>
      <xdr:row>13</xdr:row>
      <xdr:rowOff>9525</xdr:rowOff>
    </xdr:to>
    <xdr:sp macro="" textlink="">
      <xdr:nvSpPr>
        <xdr:cNvPr id="45" name="TextBox 44">
          <a:extLst>
            <a:ext uri="{FF2B5EF4-FFF2-40B4-BE49-F238E27FC236}">
              <a16:creationId xmlns:a16="http://schemas.microsoft.com/office/drawing/2014/main" id="{F69A629B-F087-4F29-A22B-79E4D3150B02}"/>
            </a:ext>
          </a:extLst>
        </xdr:cNvPr>
        <xdr:cNvSpPr txBox="1"/>
      </xdr:nvSpPr>
      <xdr:spPr>
        <a:xfrm>
          <a:off x="12477749" y="2181225"/>
          <a:ext cx="1571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Segoe UI Semibold" panose="020B0702040204020203" pitchFamily="34" charset="0"/>
              <a:cs typeface="Segoe UI Semibold" panose="020B0702040204020203" pitchFamily="34" charset="0"/>
            </a:rPr>
            <a:t>Males</a:t>
          </a:r>
        </a:p>
      </xdr:txBody>
    </xdr:sp>
    <xdr:clientData/>
  </xdr:twoCellAnchor>
  <xdr:twoCellAnchor>
    <xdr:from>
      <xdr:col>20</xdr:col>
      <xdr:colOff>419099</xdr:colOff>
      <xdr:row>18</xdr:row>
      <xdr:rowOff>104775</xdr:rowOff>
    </xdr:from>
    <xdr:to>
      <xdr:col>23</xdr:col>
      <xdr:colOff>161924</xdr:colOff>
      <xdr:row>20</xdr:row>
      <xdr:rowOff>28575</xdr:rowOff>
    </xdr:to>
    <xdr:sp macro="" textlink="">
      <xdr:nvSpPr>
        <xdr:cNvPr id="46" name="TextBox 45">
          <a:extLst>
            <a:ext uri="{FF2B5EF4-FFF2-40B4-BE49-F238E27FC236}">
              <a16:creationId xmlns:a16="http://schemas.microsoft.com/office/drawing/2014/main" id="{C8C2BA3D-FDBB-4AA2-8235-7C585018B360}"/>
            </a:ext>
          </a:extLst>
        </xdr:cNvPr>
        <xdr:cNvSpPr txBox="1"/>
      </xdr:nvSpPr>
      <xdr:spPr>
        <a:xfrm>
          <a:off x="12611099" y="3533775"/>
          <a:ext cx="1571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Segoe UI Semibold" panose="020B0702040204020203" pitchFamily="34" charset="0"/>
              <a:cs typeface="Segoe UI Semibold" panose="020B0702040204020203" pitchFamily="34" charset="0"/>
            </a:rPr>
            <a:t>Females</a:t>
          </a:r>
        </a:p>
        <a:p>
          <a:pPr algn="ct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20</xdr:col>
      <xdr:colOff>428625</xdr:colOff>
      <xdr:row>25</xdr:row>
      <xdr:rowOff>19050</xdr:rowOff>
    </xdr:from>
    <xdr:to>
      <xdr:col>23</xdr:col>
      <xdr:colOff>171450</xdr:colOff>
      <xdr:row>26</xdr:row>
      <xdr:rowOff>133350</xdr:rowOff>
    </xdr:to>
    <xdr:sp macro="" textlink="">
      <xdr:nvSpPr>
        <xdr:cNvPr id="47" name="TextBox 46">
          <a:extLst>
            <a:ext uri="{FF2B5EF4-FFF2-40B4-BE49-F238E27FC236}">
              <a16:creationId xmlns:a16="http://schemas.microsoft.com/office/drawing/2014/main" id="{2BC4BC6B-AADB-4A89-8A8C-58C168B0DE7A}"/>
            </a:ext>
          </a:extLst>
        </xdr:cNvPr>
        <xdr:cNvSpPr txBox="1"/>
      </xdr:nvSpPr>
      <xdr:spPr>
        <a:xfrm>
          <a:off x="12620625" y="4781550"/>
          <a:ext cx="1571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Segoe UI Semibold" panose="020B0702040204020203" pitchFamily="34" charset="0"/>
              <a:cs typeface="Segoe UI Semibold" panose="020B0702040204020203" pitchFamily="34" charset="0"/>
            </a:rPr>
            <a:t>Others</a:t>
          </a:r>
        </a:p>
      </xdr:txBody>
    </xdr:sp>
    <xdr:clientData/>
  </xdr:twoCellAnchor>
  <xdr:twoCellAnchor>
    <xdr:from>
      <xdr:col>21</xdr:col>
      <xdr:colOff>0</xdr:colOff>
      <xdr:row>15</xdr:row>
      <xdr:rowOff>85725</xdr:rowOff>
    </xdr:from>
    <xdr:to>
      <xdr:col>23</xdr:col>
      <xdr:colOff>19050</xdr:colOff>
      <xdr:row>18</xdr:row>
      <xdr:rowOff>152400</xdr:rowOff>
    </xdr:to>
    <xdr:sp macro="" textlink="Aggregates!$C$8">
      <xdr:nvSpPr>
        <xdr:cNvPr id="48" name="Rectangle: Rounded Corners 47">
          <a:extLst>
            <a:ext uri="{FF2B5EF4-FFF2-40B4-BE49-F238E27FC236}">
              <a16:creationId xmlns:a16="http://schemas.microsoft.com/office/drawing/2014/main" id="{242CE3D5-53C8-458A-94BD-ACCCE38B0AE1}"/>
            </a:ext>
          </a:extLst>
        </xdr:cNvPr>
        <xdr:cNvSpPr/>
      </xdr:nvSpPr>
      <xdr:spPr>
        <a:xfrm>
          <a:off x="12801600" y="2943225"/>
          <a:ext cx="1238250" cy="638175"/>
        </a:xfrm>
        <a:prstGeom prst="roundRect">
          <a:avLst>
            <a:gd name="adj" fmla="val 920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DF03C1-878B-4825-830C-A58CD1C8A5F6}" type="TxLink">
            <a:rPr lang="en-US" sz="2000" b="1" i="0" u="none" strike="noStrike">
              <a:solidFill>
                <a:sysClr val="windowText" lastClr="000000"/>
              </a:solidFill>
              <a:latin typeface="Segoe UI Semibold" panose="020B0702040204020203" pitchFamily="34" charset="0"/>
              <a:cs typeface="Segoe UI Semibold" panose="020B0702040204020203" pitchFamily="34" charset="0"/>
            </a:rPr>
            <a:pPr algn="ctr"/>
            <a:t>46.45%</a:t>
          </a:fld>
          <a:endParaRPr lang="en-US" sz="20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19</xdr:col>
      <xdr:colOff>76201</xdr:colOff>
      <xdr:row>1</xdr:row>
      <xdr:rowOff>104776</xdr:rowOff>
    </xdr:from>
    <xdr:to>
      <xdr:col>20</xdr:col>
      <xdr:colOff>247650</xdr:colOff>
      <xdr:row>5</xdr:row>
      <xdr:rowOff>123825</xdr:rowOff>
    </xdr:to>
    <xdr:pic>
      <xdr:nvPicPr>
        <xdr:cNvPr id="51" name="Picture 50">
          <a:extLst>
            <a:ext uri="{FF2B5EF4-FFF2-40B4-BE49-F238E27FC236}">
              <a16:creationId xmlns:a16="http://schemas.microsoft.com/office/drawing/2014/main" id="{8FD11815-EED5-0B2F-8CB1-D2D92CC237B7}"/>
            </a:ext>
          </a:extLst>
        </xdr:cNvPr>
        <xdr:cNvPicPr>
          <a:picLocks noChangeAspect="1"/>
        </xdr:cNvPicPr>
      </xdr:nvPicPr>
      <xdr:blipFill>
        <a:blip xmlns:r="http://schemas.openxmlformats.org/officeDocument/2006/relationships" r:embed="rId13"/>
        <a:stretch>
          <a:fillRect/>
        </a:stretch>
      </xdr:blipFill>
      <xdr:spPr>
        <a:xfrm>
          <a:off x="11658601" y="295276"/>
          <a:ext cx="781049" cy="781049"/>
        </a:xfrm>
        <a:prstGeom prst="rect">
          <a:avLst/>
        </a:prstGeom>
      </xdr:spPr>
    </xdr:pic>
    <xdr:clientData/>
  </xdr:twoCellAnchor>
  <xdr:twoCellAnchor>
    <xdr:from>
      <xdr:col>20</xdr:col>
      <xdr:colOff>85725</xdr:colOff>
      <xdr:row>1</xdr:row>
      <xdr:rowOff>19050</xdr:rowOff>
    </xdr:from>
    <xdr:to>
      <xdr:col>23</xdr:col>
      <xdr:colOff>19050</xdr:colOff>
      <xdr:row>4</xdr:row>
      <xdr:rowOff>85725</xdr:rowOff>
    </xdr:to>
    <xdr:sp macro="" textlink="Aggregates!N3">
      <xdr:nvSpPr>
        <xdr:cNvPr id="52" name="Rectangle: Rounded Corners 51">
          <a:extLst>
            <a:ext uri="{FF2B5EF4-FFF2-40B4-BE49-F238E27FC236}">
              <a16:creationId xmlns:a16="http://schemas.microsoft.com/office/drawing/2014/main" id="{6C521B90-3942-4A1D-B796-61B28DFE7FE3}"/>
            </a:ext>
          </a:extLst>
        </xdr:cNvPr>
        <xdr:cNvSpPr/>
      </xdr:nvSpPr>
      <xdr:spPr>
        <a:xfrm>
          <a:off x="12277725" y="209550"/>
          <a:ext cx="1762125" cy="638175"/>
        </a:xfrm>
        <a:prstGeom prst="roundRect">
          <a:avLst>
            <a:gd name="adj" fmla="val 991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ED87F1-97BD-489E-9639-BC8820890D9E}" type="TxLink">
            <a:rPr lang="en-US" sz="1800" b="1" i="0" u="none" strike="noStrike">
              <a:solidFill>
                <a:sysClr val="windowText" lastClr="000000"/>
              </a:solidFill>
              <a:latin typeface="Segoe UI Semibold" panose="020B0702040204020203" pitchFamily="34" charset="0"/>
              <a:cs typeface="Segoe UI Semibold" panose="020B0702040204020203" pitchFamily="34" charset="0"/>
            </a:rPr>
            <a:pPr algn="ctr"/>
            <a:t>₦ 2,031,197.97</a:t>
          </a:fld>
          <a:endParaRPr lang="en-US" sz="18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123824</xdr:colOff>
      <xdr:row>4</xdr:row>
      <xdr:rowOff>47625</xdr:rowOff>
    </xdr:from>
    <xdr:to>
      <xdr:col>22</xdr:col>
      <xdr:colOff>476249</xdr:colOff>
      <xdr:row>5</xdr:row>
      <xdr:rowOff>161925</xdr:rowOff>
    </xdr:to>
    <xdr:sp macro="" textlink="">
      <xdr:nvSpPr>
        <xdr:cNvPr id="53" name="TextBox 52">
          <a:extLst>
            <a:ext uri="{FF2B5EF4-FFF2-40B4-BE49-F238E27FC236}">
              <a16:creationId xmlns:a16="http://schemas.microsoft.com/office/drawing/2014/main" id="{509141D0-CCD2-44A7-B78A-F2277CC2B725}"/>
            </a:ext>
          </a:extLst>
        </xdr:cNvPr>
        <xdr:cNvSpPr txBox="1"/>
      </xdr:nvSpPr>
      <xdr:spPr>
        <a:xfrm>
          <a:off x="12315824" y="809625"/>
          <a:ext cx="1571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cs typeface="Segoe UI Semibold" panose="020B0702040204020203" pitchFamily="34" charset="0"/>
            </a:rPr>
            <a:t>Total</a:t>
          </a:r>
          <a:r>
            <a:rPr lang="en-US" sz="1100" baseline="0">
              <a:latin typeface="Segoe UI Semibold" panose="020B0702040204020203" pitchFamily="34" charset="0"/>
              <a:cs typeface="Segoe UI Semibold" panose="020B0702040204020203" pitchFamily="34" charset="0"/>
            </a:rPr>
            <a:t> Bonus</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21</xdr:col>
      <xdr:colOff>66676</xdr:colOff>
      <xdr:row>21</xdr:row>
      <xdr:rowOff>161925</xdr:rowOff>
    </xdr:from>
    <xdr:to>
      <xdr:col>22</xdr:col>
      <xdr:colOff>600076</xdr:colOff>
      <xdr:row>25</xdr:row>
      <xdr:rowOff>152400</xdr:rowOff>
    </xdr:to>
    <xdr:sp macro="" textlink="Aggregates!$C$10">
      <xdr:nvSpPr>
        <xdr:cNvPr id="54" name="Rectangle: Rounded Corners 53">
          <a:extLst>
            <a:ext uri="{FF2B5EF4-FFF2-40B4-BE49-F238E27FC236}">
              <a16:creationId xmlns:a16="http://schemas.microsoft.com/office/drawing/2014/main" id="{22E10C8F-6FFB-4C59-8A22-2502FFE638A3}"/>
            </a:ext>
          </a:extLst>
        </xdr:cNvPr>
        <xdr:cNvSpPr/>
      </xdr:nvSpPr>
      <xdr:spPr>
        <a:xfrm>
          <a:off x="12868276" y="4162425"/>
          <a:ext cx="1143000" cy="752475"/>
        </a:xfrm>
        <a:prstGeom prst="roundRect">
          <a:avLst>
            <a:gd name="adj" fmla="val 920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E2A978-2A97-4B7E-8EEF-1EDE61568213}" type="TxLink">
            <a:rPr lang="en-US" sz="2400" b="1" i="0" u="none" strike="noStrike">
              <a:solidFill>
                <a:sysClr val="windowText" lastClr="000000"/>
              </a:solidFill>
              <a:latin typeface="Segoe UI Semibold" panose="020B0702040204020203" pitchFamily="34" charset="0"/>
              <a:cs typeface="Segoe UI Semibold" panose="020B0702040204020203" pitchFamily="34" charset="0"/>
            </a:rPr>
            <a:pPr algn="ctr"/>
            <a:t>4.35%</a:t>
          </a:fld>
          <a:endParaRPr lang="en-US" sz="24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600075</xdr:colOff>
      <xdr:row>27</xdr:row>
      <xdr:rowOff>85725</xdr:rowOff>
    </xdr:from>
    <xdr:to>
      <xdr:col>22</xdr:col>
      <xdr:colOff>600075</xdr:colOff>
      <xdr:row>31</xdr:row>
      <xdr:rowOff>85725</xdr:rowOff>
    </xdr:to>
    <xdr:sp macro="" textlink="Aggregates!E3">
      <xdr:nvSpPr>
        <xdr:cNvPr id="55" name="Rectangle: Rounded Corners 54">
          <a:extLst>
            <a:ext uri="{FF2B5EF4-FFF2-40B4-BE49-F238E27FC236}">
              <a16:creationId xmlns:a16="http://schemas.microsoft.com/office/drawing/2014/main" id="{6319FA97-6EF9-44A3-9BA0-6CFDE9746C48}"/>
            </a:ext>
          </a:extLst>
        </xdr:cNvPr>
        <xdr:cNvSpPr/>
      </xdr:nvSpPr>
      <xdr:spPr>
        <a:xfrm>
          <a:off x="12792075" y="5229225"/>
          <a:ext cx="1219200" cy="762000"/>
        </a:xfrm>
        <a:prstGeom prst="roundRect">
          <a:avLst>
            <a:gd name="adj" fmla="val 855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7D397E-03FB-42D5-B260-12F1011CC15A}" type="TxLink">
            <a:rPr lang="en-US" sz="2800" b="1" i="0" u="none" strike="noStrike">
              <a:solidFill>
                <a:sysClr val="windowText" lastClr="000000"/>
              </a:solidFill>
              <a:latin typeface="Segoe UI Semibold" panose="020B0702040204020203" pitchFamily="34" charset="0"/>
              <a:cs typeface="Segoe UI Semibold" panose="020B0702040204020203" pitchFamily="34" charset="0"/>
            </a:rPr>
            <a:pPr algn="ctr"/>
            <a:t>12</a:t>
          </a:fld>
          <a:endParaRPr lang="en-US" sz="2800" b="1" i="0" u="none" strike="noStrike">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428625</xdr:colOff>
      <xdr:row>31</xdr:row>
      <xdr:rowOff>28575</xdr:rowOff>
    </xdr:from>
    <xdr:to>
      <xdr:col>23</xdr:col>
      <xdr:colOff>171450</xdr:colOff>
      <xdr:row>32</xdr:row>
      <xdr:rowOff>142875</xdr:rowOff>
    </xdr:to>
    <xdr:sp macro="" textlink="">
      <xdr:nvSpPr>
        <xdr:cNvPr id="56" name="TextBox 55">
          <a:extLst>
            <a:ext uri="{FF2B5EF4-FFF2-40B4-BE49-F238E27FC236}">
              <a16:creationId xmlns:a16="http://schemas.microsoft.com/office/drawing/2014/main" id="{83BCC59A-82C3-4EAD-BFFB-F0330DCCEDBC}"/>
            </a:ext>
          </a:extLst>
        </xdr:cNvPr>
        <xdr:cNvSpPr txBox="1"/>
      </xdr:nvSpPr>
      <xdr:spPr>
        <a:xfrm>
          <a:off x="12620625" y="5934075"/>
          <a:ext cx="1571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Segoe UI Semibold" panose="020B0702040204020203" pitchFamily="34" charset="0"/>
              <a:cs typeface="Segoe UI Semibold" panose="020B0702040204020203" pitchFamily="34" charset="0"/>
            </a:rPr>
            <a:t>Departments</a:t>
          </a:r>
        </a:p>
      </xdr:txBody>
    </xdr:sp>
    <xdr:clientData/>
  </xdr:twoCellAnchor>
  <xdr:twoCellAnchor editAs="oneCell">
    <xdr:from>
      <xdr:col>19</xdr:col>
      <xdr:colOff>533401</xdr:colOff>
      <xdr:row>22</xdr:row>
      <xdr:rowOff>104775</xdr:rowOff>
    </xdr:from>
    <xdr:to>
      <xdr:col>21</xdr:col>
      <xdr:colOff>142875</xdr:colOff>
      <xdr:row>27</xdr:row>
      <xdr:rowOff>9525</xdr:rowOff>
    </xdr:to>
    <xdr:pic>
      <xdr:nvPicPr>
        <xdr:cNvPr id="57" name="Picture 56">
          <a:extLst>
            <a:ext uri="{FF2B5EF4-FFF2-40B4-BE49-F238E27FC236}">
              <a16:creationId xmlns:a16="http://schemas.microsoft.com/office/drawing/2014/main" id="{64147427-10A5-E00F-C2F7-65161A2335AC}"/>
            </a:ext>
          </a:extLst>
        </xdr:cNvPr>
        <xdr:cNvPicPr>
          <a:picLocks noChangeAspect="1"/>
        </xdr:cNvPicPr>
      </xdr:nvPicPr>
      <xdr:blipFill>
        <a:blip xmlns:r="http://schemas.openxmlformats.org/officeDocument/2006/relationships" r:embed="rId14"/>
        <a:stretch>
          <a:fillRect/>
        </a:stretch>
      </xdr:blipFill>
      <xdr:spPr>
        <a:xfrm>
          <a:off x="12115801" y="4295775"/>
          <a:ext cx="828674" cy="857250"/>
        </a:xfrm>
        <a:prstGeom prst="rect">
          <a:avLst/>
        </a:prstGeom>
      </xdr:spPr>
    </xdr:pic>
    <xdr:clientData/>
  </xdr:twoCellAnchor>
  <xdr:twoCellAnchor editAs="oneCell">
    <xdr:from>
      <xdr:col>25</xdr:col>
      <xdr:colOff>0</xdr:colOff>
      <xdr:row>14</xdr:row>
      <xdr:rowOff>0</xdr:rowOff>
    </xdr:from>
    <xdr:to>
      <xdr:col>27</xdr:col>
      <xdr:colOff>0</xdr:colOff>
      <xdr:row>20</xdr:row>
      <xdr:rowOff>76200</xdr:rowOff>
    </xdr:to>
    <xdr:pic>
      <xdr:nvPicPr>
        <xdr:cNvPr id="59" name="Picture 58" descr="Bar chart">
          <a:extLst>
            <a:ext uri="{FF2B5EF4-FFF2-40B4-BE49-F238E27FC236}">
              <a16:creationId xmlns:a16="http://schemas.microsoft.com/office/drawing/2014/main" id="{4143751D-B645-D81C-2D61-B35A0174A38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240000" y="266700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514349</xdr:colOff>
      <xdr:row>28</xdr:row>
      <xdr:rowOff>152400</xdr:rowOff>
    </xdr:from>
    <xdr:to>
      <xdr:col>3</xdr:col>
      <xdr:colOff>247650</xdr:colOff>
      <xdr:row>33</xdr:row>
      <xdr:rowOff>152401</xdr:rowOff>
    </xdr:to>
    <xdr:pic>
      <xdr:nvPicPr>
        <xdr:cNvPr id="60" name="Picture 59" descr="Bar chart">
          <a:extLst>
            <a:ext uri="{FF2B5EF4-FFF2-40B4-BE49-F238E27FC236}">
              <a16:creationId xmlns:a16="http://schemas.microsoft.com/office/drawing/2014/main" id="{E62F39BA-13FC-41BB-93C5-2D69CE80B01F}"/>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23949" y="5486400"/>
          <a:ext cx="952501" cy="952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152400</xdr:colOff>
      <xdr:row>14</xdr:row>
      <xdr:rowOff>76200</xdr:rowOff>
    </xdr:to>
    <xdr:graphicFrame macro="">
      <xdr:nvGraphicFramePr>
        <xdr:cNvPr id="2" name="Chart 1">
          <a:extLst>
            <a:ext uri="{FF2B5EF4-FFF2-40B4-BE49-F238E27FC236}">
              <a16:creationId xmlns:a16="http://schemas.microsoft.com/office/drawing/2014/main" id="{384197B4-4BC6-4E17-BC92-25FF4038A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4</xdr:col>
      <xdr:colOff>152400</xdr:colOff>
      <xdr:row>32</xdr:row>
      <xdr:rowOff>76200</xdr:rowOff>
    </xdr:to>
    <xdr:graphicFrame macro="">
      <xdr:nvGraphicFramePr>
        <xdr:cNvPr id="3" name="Chart 2">
          <a:extLst>
            <a:ext uri="{FF2B5EF4-FFF2-40B4-BE49-F238E27FC236}">
              <a16:creationId xmlns:a16="http://schemas.microsoft.com/office/drawing/2014/main" id="{37798A47-30D7-4C8B-8DB8-E3C476D99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0</xdr:row>
      <xdr:rowOff>0</xdr:rowOff>
    </xdr:from>
    <xdr:to>
      <xdr:col>14</xdr:col>
      <xdr:colOff>66675</xdr:colOff>
      <xdr:row>14</xdr:row>
      <xdr:rowOff>76200</xdr:rowOff>
    </xdr:to>
    <xdr:graphicFrame macro="">
      <xdr:nvGraphicFramePr>
        <xdr:cNvPr id="4" name="Chart 3">
          <a:extLst>
            <a:ext uri="{FF2B5EF4-FFF2-40B4-BE49-F238E27FC236}">
              <a16:creationId xmlns:a16="http://schemas.microsoft.com/office/drawing/2014/main" id="{AD42216C-3202-4A42-AE75-7BE5E78A4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409575</xdr:colOff>
      <xdr:row>31</xdr:row>
      <xdr:rowOff>76200</xdr:rowOff>
    </xdr:to>
    <xdr:graphicFrame macro="">
      <xdr:nvGraphicFramePr>
        <xdr:cNvPr id="5" name="Chart 4">
          <a:extLst>
            <a:ext uri="{FF2B5EF4-FFF2-40B4-BE49-F238E27FC236}">
              <a16:creationId xmlns:a16="http://schemas.microsoft.com/office/drawing/2014/main" id="{CD18031A-D0CD-4617-A4EA-8E1EBA730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228599</xdr:colOff>
      <xdr:row>27</xdr:row>
      <xdr:rowOff>66674</xdr:rowOff>
    </xdr:from>
    <xdr:to>
      <xdr:col>12</xdr:col>
      <xdr:colOff>257175</xdr:colOff>
      <xdr:row>36</xdr:row>
      <xdr:rowOff>104775</xdr:rowOff>
    </xdr:to>
    <xdr:pic>
      <xdr:nvPicPr>
        <xdr:cNvPr id="9" name="Picture 8">
          <a:extLst>
            <a:ext uri="{FF2B5EF4-FFF2-40B4-BE49-F238E27FC236}">
              <a16:creationId xmlns:a16="http://schemas.microsoft.com/office/drawing/2014/main" id="{9C12092F-C4BC-CBF8-201F-BFB0B320D83F}"/>
            </a:ext>
          </a:extLst>
        </xdr:cNvPr>
        <xdr:cNvPicPr>
          <a:picLocks noChangeAspect="1"/>
        </xdr:cNvPicPr>
      </xdr:nvPicPr>
      <xdr:blipFill>
        <a:blip xmlns:r="http://schemas.openxmlformats.org/officeDocument/2006/relationships" r:embed="rId5"/>
        <a:stretch>
          <a:fillRect/>
        </a:stretch>
      </xdr:blipFill>
      <xdr:spPr>
        <a:xfrm>
          <a:off x="8829674" y="5210174"/>
          <a:ext cx="1752601" cy="17526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590550</xdr:colOff>
      <xdr:row>35</xdr:row>
      <xdr:rowOff>123824</xdr:rowOff>
    </xdr:to>
    <xdr:sp macro="" textlink="">
      <xdr:nvSpPr>
        <xdr:cNvPr id="61" name="Rectangle: Rounded Corners 60">
          <a:extLst>
            <a:ext uri="{FF2B5EF4-FFF2-40B4-BE49-F238E27FC236}">
              <a16:creationId xmlns:a16="http://schemas.microsoft.com/office/drawing/2014/main" id="{922FEB90-F3B1-4355-8958-47597D68FBCC}"/>
            </a:ext>
          </a:extLst>
        </xdr:cNvPr>
        <xdr:cNvSpPr/>
      </xdr:nvSpPr>
      <xdr:spPr>
        <a:xfrm>
          <a:off x="0" y="0"/>
          <a:ext cx="12172950" cy="6791324"/>
        </a:xfrm>
        <a:prstGeom prst="roundRect">
          <a:avLst>
            <a:gd name="adj" fmla="val 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57150</xdr:rowOff>
    </xdr:from>
    <xdr:to>
      <xdr:col>1</xdr:col>
      <xdr:colOff>457200</xdr:colOff>
      <xdr:row>4</xdr:row>
      <xdr:rowOff>9525</xdr:rowOff>
    </xdr:to>
    <xdr:sp macro="" textlink="">
      <xdr:nvSpPr>
        <xdr:cNvPr id="25" name="Rectangle: Rounded Corners 24">
          <a:extLst>
            <a:ext uri="{FF2B5EF4-FFF2-40B4-BE49-F238E27FC236}">
              <a16:creationId xmlns:a16="http://schemas.microsoft.com/office/drawing/2014/main" id="{B2DBF719-D6C2-4F23-AB43-5E4BCB21AA7A}"/>
            </a:ext>
          </a:extLst>
        </xdr:cNvPr>
        <xdr:cNvSpPr/>
      </xdr:nvSpPr>
      <xdr:spPr>
        <a:xfrm>
          <a:off x="76200" y="57150"/>
          <a:ext cx="990600" cy="714375"/>
        </a:xfrm>
        <a:prstGeom prst="roundRect">
          <a:avLst>
            <a:gd name="adj" fmla="val 621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0</xdr:row>
      <xdr:rowOff>76200</xdr:rowOff>
    </xdr:from>
    <xdr:to>
      <xdr:col>13</xdr:col>
      <xdr:colOff>0</xdr:colOff>
      <xdr:row>3</xdr:row>
      <xdr:rowOff>180975</xdr:rowOff>
    </xdr:to>
    <xdr:sp macro="" textlink="">
      <xdr:nvSpPr>
        <xdr:cNvPr id="2" name="TextBox 1">
          <a:extLst>
            <a:ext uri="{FF2B5EF4-FFF2-40B4-BE49-F238E27FC236}">
              <a16:creationId xmlns:a16="http://schemas.microsoft.com/office/drawing/2014/main" id="{255E085B-ABED-2CF0-03D5-E0B837CFDD1A}"/>
            </a:ext>
          </a:extLst>
        </xdr:cNvPr>
        <xdr:cNvSpPr txBox="1"/>
      </xdr:nvSpPr>
      <xdr:spPr>
        <a:xfrm>
          <a:off x="1143000" y="76200"/>
          <a:ext cx="6781800" cy="676275"/>
        </a:xfrm>
        <a:prstGeom prst="roundRect">
          <a:avLst>
            <a:gd name="adj" fmla="val 11033"/>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cap="none" spc="0">
              <a:ln w="0"/>
              <a:solidFill>
                <a:schemeClr val="accent5"/>
              </a:solidFill>
              <a:effectLst>
                <a:outerShdw blurRad="63500" sx="102000" sy="102000" algn="ctr" rotWithShape="0">
                  <a:prstClr val="black">
                    <a:alpha val="40000"/>
                  </a:prstClr>
                </a:outerShdw>
              </a:effectLst>
              <a:latin typeface="Broadway" panose="04040905080B02020502" pitchFamily="82" charset="0"/>
            </a:rPr>
            <a:t>PALMORIA GROUP</a:t>
          </a:r>
          <a:r>
            <a:rPr lang="en-US" sz="2000" b="1" cap="none" spc="0" baseline="0">
              <a:ln w="0"/>
              <a:solidFill>
                <a:schemeClr val="accent5"/>
              </a:solidFill>
              <a:effectLst>
                <a:outerShdw blurRad="63500" sx="102000" sy="102000" algn="ctr" rotWithShape="0">
                  <a:prstClr val="black">
                    <a:alpha val="40000"/>
                  </a:prstClr>
                </a:outerShdw>
              </a:effectLst>
              <a:latin typeface="Broadway" panose="04040905080B02020502" pitchFamily="82" charset="0"/>
            </a:rPr>
            <a:t> EMPLOYEE ANALYSIS</a:t>
          </a:r>
          <a:endParaRPr lang="en-US" sz="2000" b="1" cap="none" spc="0">
            <a:ln w="0"/>
            <a:solidFill>
              <a:schemeClr val="accent5"/>
            </a:solidFill>
            <a:effectLst>
              <a:outerShdw blurRad="63500" sx="102000" sy="102000" algn="ctr" rotWithShape="0">
                <a:prstClr val="black">
                  <a:alpha val="40000"/>
                </a:prstClr>
              </a:outerShdw>
            </a:effectLst>
            <a:latin typeface="Broadway" panose="04040905080B02020502" pitchFamily="82" charset="0"/>
          </a:endParaRPr>
        </a:p>
      </xdr:txBody>
    </xdr:sp>
    <xdr:clientData/>
  </xdr:twoCellAnchor>
  <xdr:twoCellAnchor editAs="oneCell">
    <xdr:from>
      <xdr:col>13</xdr:col>
      <xdr:colOff>19051</xdr:colOff>
      <xdr:row>22</xdr:row>
      <xdr:rowOff>104775</xdr:rowOff>
    </xdr:from>
    <xdr:to>
      <xdr:col>15</xdr:col>
      <xdr:colOff>552451</xdr:colOff>
      <xdr:row>28</xdr:row>
      <xdr:rowOff>95250</xdr:rowOff>
    </xdr:to>
    <mc:AlternateContent xmlns:mc="http://schemas.openxmlformats.org/markup-compatibility/2006" xmlns:a14="http://schemas.microsoft.com/office/drawing/2010/main">
      <mc:Choice Requires="a14">
        <xdr:graphicFrame macro="">
          <xdr:nvGraphicFramePr>
            <xdr:cNvPr id="58" name="Location">
              <a:extLst>
                <a:ext uri="{FF2B5EF4-FFF2-40B4-BE49-F238E27FC236}">
                  <a16:creationId xmlns:a16="http://schemas.microsoft.com/office/drawing/2014/main" id="{CFCDB5CF-0329-4C45-A474-93059B20427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943851" y="4295775"/>
              <a:ext cx="17526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438150</xdr:colOff>
      <xdr:row>16</xdr:row>
      <xdr:rowOff>95250</xdr:rowOff>
    </xdr:from>
    <xdr:to>
      <xdr:col>12</xdr:col>
      <xdr:colOff>561975</xdr:colOff>
      <xdr:row>28</xdr:row>
      <xdr:rowOff>28575</xdr:rowOff>
    </xdr:to>
    <mc:AlternateContent xmlns:mc="http://schemas.openxmlformats.org/markup-compatibility/2006" xmlns:a14="http://schemas.microsoft.com/office/drawing/2010/main">
      <mc:Choice Requires="a14">
        <xdr:graphicFrame macro="">
          <xdr:nvGraphicFramePr>
            <xdr:cNvPr id="59" name="Rating">
              <a:extLst>
                <a:ext uri="{FF2B5EF4-FFF2-40B4-BE49-F238E27FC236}">
                  <a16:creationId xmlns:a16="http://schemas.microsoft.com/office/drawing/2014/main" id="{BEEF3362-3864-4065-9639-28EC29AF3A6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6534150" y="3143250"/>
              <a:ext cx="1343025"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590551</xdr:colOff>
      <xdr:row>0</xdr:row>
      <xdr:rowOff>28575</xdr:rowOff>
    </xdr:from>
    <xdr:to>
      <xdr:col>19</xdr:col>
      <xdr:colOff>457201</xdr:colOff>
      <xdr:row>28</xdr:row>
      <xdr:rowOff>66674</xdr:rowOff>
    </xdr:to>
    <xdr:sp macro="" textlink="">
      <xdr:nvSpPr>
        <xdr:cNvPr id="5" name="Rectangle: Rounded Corners 4">
          <a:extLst>
            <a:ext uri="{FF2B5EF4-FFF2-40B4-BE49-F238E27FC236}">
              <a16:creationId xmlns:a16="http://schemas.microsoft.com/office/drawing/2014/main" id="{2B0F1AF3-87EB-CFE5-598B-AF24EF4224EA}"/>
            </a:ext>
          </a:extLst>
        </xdr:cNvPr>
        <xdr:cNvSpPr/>
      </xdr:nvSpPr>
      <xdr:spPr>
        <a:xfrm>
          <a:off x="9734551" y="28575"/>
          <a:ext cx="2305050" cy="5372099"/>
        </a:xfrm>
        <a:prstGeom prst="roundRect">
          <a:avLst>
            <a:gd name="adj" fmla="val 2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xdr:colOff>
      <xdr:row>0</xdr:row>
      <xdr:rowOff>57150</xdr:rowOff>
    </xdr:from>
    <xdr:to>
      <xdr:col>19</xdr:col>
      <xdr:colOff>438150</xdr:colOff>
      <xdr:row>3</xdr:row>
      <xdr:rowOff>104775</xdr:rowOff>
    </xdr:to>
    <xdr:sp macro="" textlink="Aggregates!B3">
      <xdr:nvSpPr>
        <xdr:cNvPr id="6" name="TextBox 5">
          <a:extLst>
            <a:ext uri="{FF2B5EF4-FFF2-40B4-BE49-F238E27FC236}">
              <a16:creationId xmlns:a16="http://schemas.microsoft.com/office/drawing/2014/main" id="{6FB97C2E-AC92-B8BE-1FF3-09EB74812CCA}"/>
            </a:ext>
          </a:extLst>
        </xdr:cNvPr>
        <xdr:cNvSpPr txBox="1"/>
      </xdr:nvSpPr>
      <xdr:spPr>
        <a:xfrm>
          <a:off x="9810750" y="57150"/>
          <a:ext cx="2209800" cy="619125"/>
        </a:xfrm>
        <a:prstGeom prst="roundRect">
          <a:avLst>
            <a:gd name="adj" fmla="val 1078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0605D-2146-4CAB-BAC0-BF7A0A9BA96D}" type="TxLink">
            <a:rPr lang="en-US" sz="2000" b="1" i="0" u="none" strike="noStrike">
              <a:solidFill>
                <a:schemeClr val="accent5"/>
              </a:solidFill>
              <a:latin typeface="Times New Roman"/>
              <a:cs typeface="Times New Roman"/>
            </a:rPr>
            <a:pPr algn="ctr"/>
            <a:t>874</a:t>
          </a:fld>
          <a:endParaRPr lang="en-US" sz="20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Total employees</a:t>
          </a:r>
          <a:endParaRPr lang="en-US" sz="2000">
            <a:solidFill>
              <a:schemeClr val="accent5"/>
            </a:solidFill>
          </a:endParaRPr>
        </a:p>
      </xdr:txBody>
    </xdr:sp>
    <xdr:clientData/>
  </xdr:twoCellAnchor>
  <xdr:twoCellAnchor>
    <xdr:from>
      <xdr:col>16</xdr:col>
      <xdr:colOff>47625</xdr:colOff>
      <xdr:row>14</xdr:row>
      <xdr:rowOff>123825</xdr:rowOff>
    </xdr:from>
    <xdr:to>
      <xdr:col>19</xdr:col>
      <xdr:colOff>400050</xdr:colOff>
      <xdr:row>18</xdr:row>
      <xdr:rowOff>0</xdr:rowOff>
    </xdr:to>
    <xdr:sp macro="" textlink="Aggregates!N3">
      <xdr:nvSpPr>
        <xdr:cNvPr id="15" name="Rectangle: Rounded Corners 14">
          <a:extLst>
            <a:ext uri="{FF2B5EF4-FFF2-40B4-BE49-F238E27FC236}">
              <a16:creationId xmlns:a16="http://schemas.microsoft.com/office/drawing/2014/main" id="{6A528316-6AFC-405A-A4FD-E63BF81D879D}"/>
            </a:ext>
          </a:extLst>
        </xdr:cNvPr>
        <xdr:cNvSpPr/>
      </xdr:nvSpPr>
      <xdr:spPr>
        <a:xfrm>
          <a:off x="9801225" y="2790825"/>
          <a:ext cx="2181225" cy="638175"/>
        </a:xfrm>
        <a:prstGeom prst="roundRect">
          <a:avLst>
            <a:gd name="adj" fmla="val 991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ED87F1-97BD-489E-9639-BC8820890D9E}" type="TxLink">
            <a:rPr lang="en-US" sz="1800" b="1" i="0" u="none" strike="noStrike">
              <a:solidFill>
                <a:schemeClr val="accent5"/>
              </a:solidFill>
              <a:latin typeface="Times New Roman"/>
              <a:cs typeface="Times New Roman"/>
            </a:rPr>
            <a:pPr algn="ctr"/>
            <a:t>₦ 2,031,197.97</a:t>
          </a:fld>
          <a:endParaRPr lang="en-US" sz="1800" b="1" i="0" u="none" strike="noStrike">
            <a:solidFill>
              <a:schemeClr val="accent5"/>
            </a:solidFill>
            <a:latin typeface="Times New Roman"/>
            <a:cs typeface="Times New Roman"/>
          </a:endParaRPr>
        </a:p>
        <a:p>
          <a:pPr algn="ctr"/>
          <a:r>
            <a:rPr lang="en-US" sz="1050" b="0" i="0" u="none" strike="noStrike">
              <a:solidFill>
                <a:schemeClr val="accent5"/>
              </a:solidFill>
              <a:latin typeface="Times New Roman"/>
              <a:cs typeface="Times New Roman"/>
            </a:rPr>
            <a:t>Total Bonus</a:t>
          </a:r>
          <a:endParaRPr lang="en-US" sz="900">
            <a:solidFill>
              <a:schemeClr val="accent5"/>
            </a:solidFill>
          </a:endParaRPr>
        </a:p>
      </xdr:txBody>
    </xdr:sp>
    <xdr:clientData/>
  </xdr:twoCellAnchor>
  <xdr:twoCellAnchor>
    <xdr:from>
      <xdr:col>16</xdr:col>
      <xdr:colOff>38100</xdr:colOff>
      <xdr:row>10</xdr:row>
      <xdr:rowOff>142876</xdr:rowOff>
    </xdr:from>
    <xdr:to>
      <xdr:col>19</xdr:col>
      <xdr:colOff>419100</xdr:colOff>
      <xdr:row>14</xdr:row>
      <xdr:rowOff>85726</xdr:rowOff>
    </xdr:to>
    <xdr:sp macro="" textlink="Aggregates!K3">
      <xdr:nvSpPr>
        <xdr:cNvPr id="16" name="Rectangle: Rounded Corners 15">
          <a:extLst>
            <a:ext uri="{FF2B5EF4-FFF2-40B4-BE49-F238E27FC236}">
              <a16:creationId xmlns:a16="http://schemas.microsoft.com/office/drawing/2014/main" id="{B6034BC9-89E5-4BB6-9B8E-A396ED0BDDCE}"/>
            </a:ext>
          </a:extLst>
        </xdr:cNvPr>
        <xdr:cNvSpPr/>
      </xdr:nvSpPr>
      <xdr:spPr>
        <a:xfrm>
          <a:off x="9791700" y="2047876"/>
          <a:ext cx="2209800" cy="704850"/>
        </a:xfrm>
        <a:prstGeom prst="roundRect">
          <a:avLst>
            <a:gd name="adj" fmla="val 926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367368-898F-4BDC-BFDA-B8D3A06D642C}" type="TxLink">
            <a:rPr lang="en-US" sz="2000" b="1" i="0" u="none" strike="noStrike">
              <a:solidFill>
                <a:schemeClr val="accent5"/>
              </a:solidFill>
              <a:latin typeface="Times New Roman"/>
              <a:cs typeface="Times New Roman"/>
            </a:rPr>
            <a:pPr algn="ctr"/>
            <a:t>₦ 64,528,740</a:t>
          </a:fld>
          <a:endParaRPr lang="en-US" sz="20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Total Salary</a:t>
          </a:r>
          <a:endParaRPr lang="en-US" sz="1100">
            <a:solidFill>
              <a:schemeClr val="accent5"/>
            </a:solidFill>
          </a:endParaRPr>
        </a:p>
      </xdr:txBody>
    </xdr:sp>
    <xdr:clientData/>
  </xdr:twoCellAnchor>
  <xdr:twoCellAnchor>
    <xdr:from>
      <xdr:col>16</xdr:col>
      <xdr:colOff>85724</xdr:colOff>
      <xdr:row>7</xdr:row>
      <xdr:rowOff>47627</xdr:rowOff>
    </xdr:from>
    <xdr:to>
      <xdr:col>19</xdr:col>
      <xdr:colOff>419099</xdr:colOff>
      <xdr:row>10</xdr:row>
      <xdr:rowOff>114301</xdr:rowOff>
    </xdr:to>
    <xdr:sp macro="" textlink="Aggregates!K8">
      <xdr:nvSpPr>
        <xdr:cNvPr id="17" name="Rectangle: Rounded Corners 16">
          <a:extLst>
            <a:ext uri="{FF2B5EF4-FFF2-40B4-BE49-F238E27FC236}">
              <a16:creationId xmlns:a16="http://schemas.microsoft.com/office/drawing/2014/main" id="{269904B2-FA49-45DE-8545-286AD742FF01}"/>
            </a:ext>
          </a:extLst>
        </xdr:cNvPr>
        <xdr:cNvSpPr/>
      </xdr:nvSpPr>
      <xdr:spPr>
        <a:xfrm>
          <a:off x="9839324" y="1381127"/>
          <a:ext cx="2162175" cy="638174"/>
        </a:xfrm>
        <a:prstGeom prst="roundRect">
          <a:avLst>
            <a:gd name="adj" fmla="val 926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8E3DBE-0914-4041-997B-CD50934CA3EE}" type="TxLink">
            <a:rPr lang="en-US" sz="2000" b="1" i="0" u="none" strike="noStrike">
              <a:solidFill>
                <a:schemeClr val="accent5"/>
              </a:solidFill>
              <a:latin typeface="Times New Roman"/>
              <a:cs typeface="Times New Roman"/>
            </a:rPr>
            <a:pPr algn="ctr"/>
            <a:t>₦ 66,559,937.97</a:t>
          </a:fld>
          <a:endParaRPr lang="en-US" sz="20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Total</a:t>
          </a:r>
          <a:r>
            <a:rPr lang="en-US" sz="1100" b="0" i="0" u="none" strike="noStrike" baseline="0">
              <a:solidFill>
                <a:schemeClr val="accent5"/>
              </a:solidFill>
              <a:latin typeface="Times New Roman"/>
              <a:cs typeface="Times New Roman"/>
            </a:rPr>
            <a:t> Salary (bonus inclusive)</a:t>
          </a:r>
          <a:endParaRPr lang="en-US" sz="1100">
            <a:solidFill>
              <a:schemeClr val="accent5"/>
            </a:solidFill>
          </a:endParaRPr>
        </a:p>
      </xdr:txBody>
    </xdr:sp>
    <xdr:clientData/>
  </xdr:twoCellAnchor>
  <xdr:twoCellAnchor>
    <xdr:from>
      <xdr:col>17</xdr:col>
      <xdr:colOff>552450</xdr:colOff>
      <xdr:row>21</xdr:row>
      <xdr:rowOff>114300</xdr:rowOff>
    </xdr:from>
    <xdr:to>
      <xdr:col>19</xdr:col>
      <xdr:colOff>419099</xdr:colOff>
      <xdr:row>24</xdr:row>
      <xdr:rowOff>142874</xdr:rowOff>
    </xdr:to>
    <xdr:sp macro="" textlink="Aggregates!N8">
      <xdr:nvSpPr>
        <xdr:cNvPr id="18" name="Rectangle: Rounded Corners 17">
          <a:extLst>
            <a:ext uri="{FF2B5EF4-FFF2-40B4-BE49-F238E27FC236}">
              <a16:creationId xmlns:a16="http://schemas.microsoft.com/office/drawing/2014/main" id="{47187FE0-79E5-4510-809B-718638498D32}"/>
            </a:ext>
          </a:extLst>
        </xdr:cNvPr>
        <xdr:cNvSpPr/>
      </xdr:nvSpPr>
      <xdr:spPr>
        <a:xfrm>
          <a:off x="10915650" y="4114800"/>
          <a:ext cx="1085849" cy="600074"/>
        </a:xfrm>
        <a:prstGeom prst="roundRect">
          <a:avLst>
            <a:gd name="adj" fmla="val 855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76693F-689F-4991-83C7-19EDF99DD2A7}" type="TxLink">
            <a:rPr lang="en-US" sz="1600" b="1" i="0" u="none" strike="noStrike">
              <a:solidFill>
                <a:schemeClr val="accent5"/>
              </a:solidFill>
              <a:latin typeface="Times New Roman"/>
              <a:cs typeface="Times New Roman"/>
            </a:rPr>
            <a:pPr algn="ctr"/>
            <a:t>3.14%</a:t>
          </a:fld>
          <a:endParaRPr lang="en-US" sz="1600" b="1" i="0" u="none" strike="noStrike">
            <a:solidFill>
              <a:schemeClr val="accent5"/>
            </a:solidFill>
            <a:latin typeface="Times New Roman"/>
            <a:cs typeface="Times New Roman"/>
          </a:endParaRPr>
        </a:p>
        <a:p>
          <a:pPr algn="ctr"/>
          <a:r>
            <a:rPr lang="en-US" sz="1000" b="0" i="0" u="none" strike="noStrike">
              <a:solidFill>
                <a:schemeClr val="accent5"/>
              </a:solidFill>
              <a:latin typeface="Times New Roman"/>
              <a:cs typeface="Times New Roman"/>
            </a:rPr>
            <a:t>Avg. Bonus %</a:t>
          </a:r>
          <a:endParaRPr lang="en-US" sz="1100">
            <a:solidFill>
              <a:schemeClr val="accent5"/>
            </a:solidFill>
          </a:endParaRPr>
        </a:p>
      </xdr:txBody>
    </xdr:sp>
    <xdr:clientData/>
  </xdr:twoCellAnchor>
  <xdr:twoCellAnchor>
    <xdr:from>
      <xdr:col>16</xdr:col>
      <xdr:colOff>9525</xdr:colOff>
      <xdr:row>24</xdr:row>
      <xdr:rowOff>161925</xdr:rowOff>
    </xdr:from>
    <xdr:to>
      <xdr:col>18</xdr:col>
      <xdr:colOff>9525</xdr:colOff>
      <xdr:row>28</xdr:row>
      <xdr:rowOff>38100</xdr:rowOff>
    </xdr:to>
    <xdr:sp macro="" textlink="Aggregates!E3">
      <xdr:nvSpPr>
        <xdr:cNvPr id="19" name="Rectangle: Rounded Corners 18">
          <a:extLst>
            <a:ext uri="{FF2B5EF4-FFF2-40B4-BE49-F238E27FC236}">
              <a16:creationId xmlns:a16="http://schemas.microsoft.com/office/drawing/2014/main" id="{4D767ECA-6D87-4BBA-8B3B-75984BBEBA46}"/>
            </a:ext>
          </a:extLst>
        </xdr:cNvPr>
        <xdr:cNvSpPr/>
      </xdr:nvSpPr>
      <xdr:spPr>
        <a:xfrm>
          <a:off x="9763125" y="4733925"/>
          <a:ext cx="1219200" cy="638175"/>
        </a:xfrm>
        <a:prstGeom prst="roundRect">
          <a:avLst>
            <a:gd name="adj" fmla="val 855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7D397E-03FB-42D5-B260-12F1011CC15A}" type="TxLink">
            <a:rPr lang="en-US" sz="2000" b="1" i="0" u="none" strike="noStrike">
              <a:solidFill>
                <a:schemeClr val="accent5"/>
              </a:solidFill>
              <a:latin typeface="Times New Roman"/>
              <a:cs typeface="Times New Roman"/>
            </a:rPr>
            <a:pPr algn="ctr"/>
            <a:t>12</a:t>
          </a:fld>
          <a:endParaRPr lang="en-US" sz="2000" b="1" i="0" u="none" strike="noStrike">
            <a:solidFill>
              <a:schemeClr val="accent5"/>
            </a:solidFill>
            <a:latin typeface="Times New Roman"/>
            <a:cs typeface="Times New Roman"/>
          </a:endParaRPr>
        </a:p>
        <a:p>
          <a:pPr algn="ctr"/>
          <a:r>
            <a:rPr lang="en-US" sz="1050" b="0" i="0" u="none" strike="noStrike">
              <a:solidFill>
                <a:schemeClr val="accent5"/>
              </a:solidFill>
              <a:latin typeface="Times New Roman"/>
              <a:cs typeface="Times New Roman"/>
            </a:rPr>
            <a:t>Departments</a:t>
          </a:r>
          <a:endParaRPr lang="en-US" sz="1050">
            <a:solidFill>
              <a:schemeClr val="accent5"/>
            </a:solidFill>
          </a:endParaRPr>
        </a:p>
      </xdr:txBody>
    </xdr:sp>
    <xdr:clientData/>
  </xdr:twoCellAnchor>
  <xdr:twoCellAnchor>
    <xdr:from>
      <xdr:col>18</xdr:col>
      <xdr:colOff>47625</xdr:colOff>
      <xdr:row>24</xdr:row>
      <xdr:rowOff>171449</xdr:rowOff>
    </xdr:from>
    <xdr:to>
      <xdr:col>19</xdr:col>
      <xdr:colOff>419100</xdr:colOff>
      <xdr:row>28</xdr:row>
      <xdr:rowOff>47624</xdr:rowOff>
    </xdr:to>
    <xdr:sp macro="" textlink="Aggregates!H3">
      <xdr:nvSpPr>
        <xdr:cNvPr id="24" name="Rectangle: Rounded Corners 23">
          <a:extLst>
            <a:ext uri="{FF2B5EF4-FFF2-40B4-BE49-F238E27FC236}">
              <a16:creationId xmlns:a16="http://schemas.microsoft.com/office/drawing/2014/main" id="{DF083BB2-36C9-426A-904D-5DDFCCB69242}"/>
            </a:ext>
          </a:extLst>
        </xdr:cNvPr>
        <xdr:cNvSpPr/>
      </xdr:nvSpPr>
      <xdr:spPr>
        <a:xfrm>
          <a:off x="11020425" y="4743449"/>
          <a:ext cx="981075" cy="638175"/>
        </a:xfrm>
        <a:prstGeom prst="roundRect">
          <a:avLst>
            <a:gd name="adj" fmla="val 563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0FFEFD-1055-4C58-B6BC-18B0FAEF01A5}" type="TxLink">
            <a:rPr lang="en-US" sz="2000" b="1" i="0" u="none" strike="noStrike">
              <a:solidFill>
                <a:schemeClr val="accent5"/>
              </a:solidFill>
              <a:latin typeface="Times New Roman"/>
              <a:cs typeface="Times New Roman"/>
            </a:rPr>
            <a:pPr algn="ctr"/>
            <a:t>3</a:t>
          </a:fld>
          <a:endParaRPr lang="en-US" sz="24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Regions</a:t>
          </a:r>
          <a:endParaRPr lang="en-US" sz="1050" b="0">
            <a:solidFill>
              <a:schemeClr val="accent5"/>
            </a:solidFill>
          </a:endParaRPr>
        </a:p>
      </xdr:txBody>
    </xdr:sp>
    <xdr:clientData/>
  </xdr:twoCellAnchor>
  <xdr:twoCellAnchor>
    <xdr:from>
      <xdr:col>18</xdr:col>
      <xdr:colOff>466724</xdr:colOff>
      <xdr:row>3</xdr:row>
      <xdr:rowOff>133350</xdr:rowOff>
    </xdr:from>
    <xdr:to>
      <xdr:col>19</xdr:col>
      <xdr:colOff>419099</xdr:colOff>
      <xdr:row>7</xdr:row>
      <xdr:rowOff>9525</xdr:rowOff>
    </xdr:to>
    <xdr:sp macro="" textlink="Aggregates!$C$10">
      <xdr:nvSpPr>
        <xdr:cNvPr id="53" name="Rectangle: Rounded Corners 52">
          <a:extLst>
            <a:ext uri="{FF2B5EF4-FFF2-40B4-BE49-F238E27FC236}">
              <a16:creationId xmlns:a16="http://schemas.microsoft.com/office/drawing/2014/main" id="{E0E592B1-6899-475C-B5FF-D92271B92AF7}"/>
            </a:ext>
          </a:extLst>
        </xdr:cNvPr>
        <xdr:cNvSpPr/>
      </xdr:nvSpPr>
      <xdr:spPr>
        <a:xfrm>
          <a:off x="11439524" y="704850"/>
          <a:ext cx="561975" cy="63817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E2A978-2A97-4B7E-8EEF-1EDE61568213}" type="TxLink">
            <a:rPr lang="en-US" sz="1600" b="1" i="0" u="none" strike="noStrike">
              <a:solidFill>
                <a:schemeClr val="accent3"/>
              </a:solidFill>
              <a:latin typeface="Times New Roman"/>
              <a:cs typeface="Times New Roman"/>
            </a:rPr>
            <a:pPr algn="ctr"/>
            <a:t>4.35%</a:t>
          </a:fld>
          <a:endParaRPr lang="en-US" sz="1600" b="1" i="0" u="none" strike="noStrike">
            <a:solidFill>
              <a:schemeClr val="accent3"/>
            </a:solidFill>
            <a:latin typeface="Times New Roman"/>
            <a:cs typeface="Times New Roman"/>
          </a:endParaRPr>
        </a:p>
        <a:p>
          <a:pPr algn="ctr"/>
          <a:r>
            <a:rPr lang="en-US" sz="1000" b="0" i="0" u="none" strike="noStrike">
              <a:solidFill>
                <a:schemeClr val="accent3"/>
              </a:solidFill>
              <a:latin typeface="Times New Roman"/>
              <a:cs typeface="Times New Roman"/>
            </a:rPr>
            <a:t>Others</a:t>
          </a:r>
          <a:endParaRPr lang="en-US" sz="1000">
            <a:solidFill>
              <a:schemeClr val="accent3"/>
            </a:solidFill>
          </a:endParaRPr>
        </a:p>
      </xdr:txBody>
    </xdr:sp>
    <xdr:clientData/>
  </xdr:twoCellAnchor>
  <xdr:twoCellAnchor>
    <xdr:from>
      <xdr:col>17</xdr:col>
      <xdr:colOff>257175</xdr:colOff>
      <xdr:row>3</xdr:row>
      <xdr:rowOff>142875</xdr:rowOff>
    </xdr:from>
    <xdr:to>
      <xdr:col>18</xdr:col>
      <xdr:colOff>424099</xdr:colOff>
      <xdr:row>7</xdr:row>
      <xdr:rowOff>19050</xdr:rowOff>
    </xdr:to>
    <xdr:sp macro="" textlink="Aggregates!$C$9">
      <xdr:nvSpPr>
        <xdr:cNvPr id="54" name="Rectangle: Rounded Corners 53">
          <a:extLst>
            <a:ext uri="{FF2B5EF4-FFF2-40B4-BE49-F238E27FC236}">
              <a16:creationId xmlns:a16="http://schemas.microsoft.com/office/drawing/2014/main" id="{F2B288CA-C61C-4016-A91E-A09DC562FA07}"/>
            </a:ext>
          </a:extLst>
        </xdr:cNvPr>
        <xdr:cNvSpPr/>
      </xdr:nvSpPr>
      <xdr:spPr>
        <a:xfrm>
          <a:off x="10620375" y="714375"/>
          <a:ext cx="776524" cy="63817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75A565-0FFB-4303-A0E8-4A169F167363}" type="TxLink">
            <a:rPr lang="en-US" sz="1800" b="1" i="0" u="none" strike="noStrike">
              <a:solidFill>
                <a:schemeClr val="accent5"/>
              </a:solidFill>
              <a:latin typeface="Times New Roman"/>
              <a:cs typeface="Times New Roman"/>
            </a:rPr>
            <a:pPr algn="ctr"/>
            <a:t>49.20%</a:t>
          </a:fld>
          <a:endParaRPr lang="en-US" sz="1800" b="1" i="0" u="none" strike="noStrike">
            <a:solidFill>
              <a:schemeClr val="accent5"/>
            </a:solidFill>
            <a:latin typeface="Times New Roman"/>
            <a:cs typeface="Times New Roman"/>
          </a:endParaRPr>
        </a:p>
        <a:p>
          <a:pPr algn="ctr"/>
          <a:r>
            <a:rPr lang="en-US" sz="1000" b="0" i="0" u="none" strike="noStrike">
              <a:solidFill>
                <a:schemeClr val="accent5"/>
              </a:solidFill>
              <a:latin typeface="Times New Roman"/>
              <a:cs typeface="Times New Roman"/>
            </a:rPr>
            <a:t>Males</a:t>
          </a:r>
          <a:endParaRPr lang="en-US" sz="1000">
            <a:solidFill>
              <a:schemeClr val="accent5"/>
            </a:solidFill>
          </a:endParaRPr>
        </a:p>
      </xdr:txBody>
    </xdr:sp>
    <xdr:clientData/>
  </xdr:twoCellAnchor>
  <xdr:twoCellAnchor>
    <xdr:from>
      <xdr:col>16</xdr:col>
      <xdr:colOff>85724</xdr:colOff>
      <xdr:row>3</xdr:row>
      <xdr:rowOff>152400</xdr:rowOff>
    </xdr:from>
    <xdr:to>
      <xdr:col>17</xdr:col>
      <xdr:colOff>219073</xdr:colOff>
      <xdr:row>7</xdr:row>
      <xdr:rowOff>28575</xdr:rowOff>
    </xdr:to>
    <xdr:sp macro="" textlink="Aggregates!$C$8">
      <xdr:nvSpPr>
        <xdr:cNvPr id="55" name="Rectangle: Rounded Corners 54">
          <a:extLst>
            <a:ext uri="{FF2B5EF4-FFF2-40B4-BE49-F238E27FC236}">
              <a16:creationId xmlns:a16="http://schemas.microsoft.com/office/drawing/2014/main" id="{CC38C235-F1EC-4A2E-8877-6957BCA12128}"/>
            </a:ext>
          </a:extLst>
        </xdr:cNvPr>
        <xdr:cNvSpPr/>
      </xdr:nvSpPr>
      <xdr:spPr>
        <a:xfrm>
          <a:off x="9839324" y="723900"/>
          <a:ext cx="742949" cy="63817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DF03C1-878B-4825-830C-A58CD1C8A5F6}" type="TxLink">
            <a:rPr lang="en-US" sz="1800" b="1" i="0" u="none" strike="noStrike">
              <a:solidFill>
                <a:srgbClr val="FF3B8A"/>
              </a:solidFill>
              <a:latin typeface="Times New Roman"/>
              <a:cs typeface="Times New Roman"/>
            </a:rPr>
            <a:pPr algn="ctr"/>
            <a:t>46.45%</a:t>
          </a:fld>
          <a:endParaRPr lang="en-US" sz="1800" b="1" i="0" u="none" strike="noStrike">
            <a:solidFill>
              <a:srgbClr val="FF3B8A"/>
            </a:solidFill>
            <a:latin typeface="Times New Roman"/>
            <a:cs typeface="Times New Roman"/>
          </a:endParaRPr>
        </a:p>
        <a:p>
          <a:pPr algn="ctr"/>
          <a:r>
            <a:rPr lang="en-US" sz="1100" b="0" i="0" u="none" strike="noStrike">
              <a:solidFill>
                <a:srgbClr val="FF3B8A"/>
              </a:solidFill>
              <a:latin typeface="Times New Roman"/>
              <a:cs typeface="Times New Roman"/>
            </a:rPr>
            <a:t>Females</a:t>
          </a:r>
          <a:endParaRPr lang="en-US" sz="1100">
            <a:solidFill>
              <a:srgbClr val="FF3B8A"/>
            </a:solidFill>
          </a:endParaRPr>
        </a:p>
      </xdr:txBody>
    </xdr:sp>
    <xdr:clientData/>
  </xdr:twoCellAnchor>
  <xdr:twoCellAnchor editAs="oneCell">
    <xdr:from>
      <xdr:col>13</xdr:col>
      <xdr:colOff>28575</xdr:colOff>
      <xdr:row>0</xdr:row>
      <xdr:rowOff>0</xdr:rowOff>
    </xdr:from>
    <xdr:to>
      <xdr:col>15</xdr:col>
      <xdr:colOff>571500</xdr:colOff>
      <xdr:row>4</xdr:row>
      <xdr:rowOff>180974</xdr:rowOff>
    </xdr:to>
    <mc:AlternateContent xmlns:mc="http://schemas.openxmlformats.org/markup-compatibility/2006" xmlns:a14="http://schemas.microsoft.com/office/drawing/2010/main">
      <mc:Choice Requires="a14">
        <xdr:graphicFrame macro="">
          <xdr:nvGraphicFramePr>
            <xdr:cNvPr id="70" name="Gender">
              <a:extLst>
                <a:ext uri="{FF2B5EF4-FFF2-40B4-BE49-F238E27FC236}">
                  <a16:creationId xmlns:a16="http://schemas.microsoft.com/office/drawing/2014/main" id="{1BA60A18-479B-42E9-86E9-284D701E1F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53375" y="0"/>
              <a:ext cx="1762125"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16</xdr:row>
      <xdr:rowOff>76200</xdr:rowOff>
    </xdr:from>
    <xdr:to>
      <xdr:col>5</xdr:col>
      <xdr:colOff>266700</xdr:colOff>
      <xdr:row>28</xdr:row>
      <xdr:rowOff>47625</xdr:rowOff>
    </xdr:to>
    <xdr:grpSp>
      <xdr:nvGrpSpPr>
        <xdr:cNvPr id="8" name="Group 7">
          <a:extLst>
            <a:ext uri="{FF2B5EF4-FFF2-40B4-BE49-F238E27FC236}">
              <a16:creationId xmlns:a16="http://schemas.microsoft.com/office/drawing/2014/main" id="{48BBB5E7-3648-94AC-E9C9-FC9279B9E41A}"/>
            </a:ext>
          </a:extLst>
        </xdr:cNvPr>
        <xdr:cNvGrpSpPr/>
      </xdr:nvGrpSpPr>
      <xdr:grpSpPr>
        <a:xfrm>
          <a:off x="123825" y="3124200"/>
          <a:ext cx="3190875" cy="2257425"/>
          <a:chOff x="95249" y="828675"/>
          <a:chExt cx="2476501" cy="2257425"/>
        </a:xfrm>
      </xdr:grpSpPr>
      <xdr:sp macro="" textlink="">
        <xdr:nvSpPr>
          <xdr:cNvPr id="28" name="Rectangle: Rounded Corners 27">
            <a:extLst>
              <a:ext uri="{FF2B5EF4-FFF2-40B4-BE49-F238E27FC236}">
                <a16:creationId xmlns:a16="http://schemas.microsoft.com/office/drawing/2014/main" id="{F66D5DFF-FF04-458A-A4E5-5DE61D63D60C}"/>
              </a:ext>
            </a:extLst>
          </xdr:cNvPr>
          <xdr:cNvSpPr/>
        </xdr:nvSpPr>
        <xdr:spPr>
          <a:xfrm>
            <a:off x="95249" y="828675"/>
            <a:ext cx="2476501" cy="225742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1" name="Chart 70">
            <a:extLst>
              <a:ext uri="{FF2B5EF4-FFF2-40B4-BE49-F238E27FC236}">
                <a16:creationId xmlns:a16="http://schemas.microsoft.com/office/drawing/2014/main" id="{9532CE5F-D7E6-4558-A661-285ABEB85F93}"/>
              </a:ext>
            </a:extLst>
          </xdr:cNvPr>
          <xdr:cNvGraphicFramePr>
            <a:graphicFrameLocks/>
          </xdr:cNvGraphicFramePr>
        </xdr:nvGraphicFramePr>
        <xdr:xfrm>
          <a:off x="95249" y="828675"/>
          <a:ext cx="2400301" cy="22288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371475</xdr:colOff>
      <xdr:row>4</xdr:row>
      <xdr:rowOff>0</xdr:rowOff>
    </xdr:from>
    <xdr:to>
      <xdr:col>12</xdr:col>
      <xdr:colOff>542926</xdr:colOff>
      <xdr:row>16</xdr:row>
      <xdr:rowOff>0</xdr:rowOff>
    </xdr:to>
    <xdr:grpSp>
      <xdr:nvGrpSpPr>
        <xdr:cNvPr id="3" name="Group 2">
          <a:extLst>
            <a:ext uri="{FF2B5EF4-FFF2-40B4-BE49-F238E27FC236}">
              <a16:creationId xmlns:a16="http://schemas.microsoft.com/office/drawing/2014/main" id="{B026F3E4-669E-370E-C73A-65E7340437FB}"/>
            </a:ext>
          </a:extLst>
        </xdr:cNvPr>
        <xdr:cNvGrpSpPr/>
      </xdr:nvGrpSpPr>
      <xdr:grpSpPr>
        <a:xfrm>
          <a:off x="4029075" y="762000"/>
          <a:ext cx="3829051" cy="2286000"/>
          <a:chOff x="3476626" y="3095625"/>
          <a:chExt cx="3009900" cy="2286000"/>
        </a:xfrm>
      </xdr:grpSpPr>
      <xdr:sp macro="" textlink="Aggregates!F9">
        <xdr:nvSpPr>
          <xdr:cNvPr id="66" name="Rectangle: Rounded Corners 65">
            <a:extLst>
              <a:ext uri="{FF2B5EF4-FFF2-40B4-BE49-F238E27FC236}">
                <a16:creationId xmlns:a16="http://schemas.microsoft.com/office/drawing/2014/main" id="{479CA359-78D0-478F-AC2E-B4C24E0FC80B}"/>
              </a:ext>
            </a:extLst>
          </xdr:cNvPr>
          <xdr:cNvSpPr/>
        </xdr:nvSpPr>
        <xdr:spPr>
          <a:xfrm>
            <a:off x="3476626" y="3124200"/>
            <a:ext cx="3009900" cy="225742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8F3D82-D3A8-44C8-B44B-33CC12ED22FB}" type="TxLink">
              <a:rPr lang="en-US" sz="1100" b="0" i="0" u="none" strike="noStrike">
                <a:solidFill>
                  <a:srgbClr val="000000"/>
                </a:solidFill>
                <a:latin typeface="Times New Roman"/>
                <a:cs typeface="Times New Roman"/>
              </a:rPr>
              <a:pPr algn="l"/>
              <a:t>₦ 73,831.51</a:t>
            </a:fld>
            <a:endParaRPr lang="en-US" sz="1100"/>
          </a:p>
        </xdr:txBody>
      </xdr:sp>
      <xdr:graphicFrame macro="">
        <xdr:nvGraphicFramePr>
          <xdr:cNvPr id="73" name="Chart 72">
            <a:extLst>
              <a:ext uri="{FF2B5EF4-FFF2-40B4-BE49-F238E27FC236}">
                <a16:creationId xmlns:a16="http://schemas.microsoft.com/office/drawing/2014/main" id="{F7AB6FAB-BD3B-447E-B48E-89D86F0F24AA}"/>
              </a:ext>
            </a:extLst>
          </xdr:cNvPr>
          <xdr:cNvGraphicFramePr>
            <a:graphicFrameLocks/>
          </xdr:cNvGraphicFramePr>
        </xdr:nvGraphicFramePr>
        <xdr:xfrm>
          <a:off x="3505200" y="3095625"/>
          <a:ext cx="2952750" cy="22669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16</xdr:col>
      <xdr:colOff>47624</xdr:colOff>
      <xdr:row>18</xdr:row>
      <xdr:rowOff>19050</xdr:rowOff>
    </xdr:from>
    <xdr:to>
      <xdr:col>19</xdr:col>
      <xdr:colOff>409575</xdr:colOff>
      <xdr:row>21</xdr:row>
      <xdr:rowOff>85725</xdr:rowOff>
    </xdr:to>
    <xdr:sp macro="" textlink="Aggregates!F9">
      <xdr:nvSpPr>
        <xdr:cNvPr id="74" name="Rectangle: Rounded Corners 73">
          <a:extLst>
            <a:ext uri="{FF2B5EF4-FFF2-40B4-BE49-F238E27FC236}">
              <a16:creationId xmlns:a16="http://schemas.microsoft.com/office/drawing/2014/main" id="{DBD112B8-C608-45BD-91EF-2D1A01D96D04}"/>
            </a:ext>
          </a:extLst>
        </xdr:cNvPr>
        <xdr:cNvSpPr/>
      </xdr:nvSpPr>
      <xdr:spPr>
        <a:xfrm>
          <a:off x="9801224" y="3448050"/>
          <a:ext cx="2190751" cy="638175"/>
        </a:xfrm>
        <a:prstGeom prst="roundRect">
          <a:avLst>
            <a:gd name="adj" fmla="val 10318"/>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EC888E-09B4-469F-83C8-BEE7A1DF8B6D}" type="TxLink">
            <a:rPr lang="en-US" sz="1600" b="1" i="0" u="none" strike="noStrike">
              <a:solidFill>
                <a:schemeClr val="accent5"/>
              </a:solidFill>
              <a:latin typeface="Times New Roman"/>
              <a:cs typeface="Times New Roman"/>
            </a:rPr>
            <a:pPr algn="ctr"/>
            <a:t>₦ 73,831.51</a:t>
          </a:fld>
          <a:endParaRPr lang="en-US" sz="11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Avg Salary</a:t>
          </a:r>
          <a:endParaRPr lang="en-US" sz="1100">
            <a:solidFill>
              <a:schemeClr val="accent5"/>
            </a:solidFill>
          </a:endParaRPr>
        </a:p>
      </xdr:txBody>
    </xdr:sp>
    <xdr:clientData/>
  </xdr:twoCellAnchor>
  <xdr:twoCellAnchor>
    <xdr:from>
      <xdr:col>16</xdr:col>
      <xdr:colOff>47626</xdr:colOff>
      <xdr:row>21</xdr:row>
      <xdr:rowOff>114300</xdr:rowOff>
    </xdr:from>
    <xdr:to>
      <xdr:col>17</xdr:col>
      <xdr:colOff>523875</xdr:colOff>
      <xdr:row>24</xdr:row>
      <xdr:rowOff>123825</xdr:rowOff>
    </xdr:to>
    <xdr:sp macro="" textlink="Aggregates!F15">
      <xdr:nvSpPr>
        <xdr:cNvPr id="75" name="Rectangle: Rounded Corners 74">
          <a:extLst>
            <a:ext uri="{FF2B5EF4-FFF2-40B4-BE49-F238E27FC236}">
              <a16:creationId xmlns:a16="http://schemas.microsoft.com/office/drawing/2014/main" id="{DC8C26CC-690F-443A-9B89-EDC76B855947}"/>
            </a:ext>
          </a:extLst>
        </xdr:cNvPr>
        <xdr:cNvSpPr/>
      </xdr:nvSpPr>
      <xdr:spPr>
        <a:xfrm>
          <a:off x="9801226" y="4114800"/>
          <a:ext cx="1085849" cy="581025"/>
        </a:xfrm>
        <a:prstGeom prst="roundRect">
          <a:avLst>
            <a:gd name="adj" fmla="val 826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A59FAE-B588-44C0-9DA3-CBBEC82A70FE}" type="TxLink">
            <a:rPr lang="en-US" sz="1400" b="1" i="0" u="none" strike="noStrike">
              <a:solidFill>
                <a:schemeClr val="accent5"/>
              </a:solidFill>
              <a:latin typeface="Times New Roman"/>
              <a:cs typeface="Times New Roman"/>
            </a:rPr>
            <a:pPr algn="ctr"/>
            <a:t>₦ 2,324.03</a:t>
          </a:fld>
          <a:endParaRPr lang="en-US" sz="1400" b="1" i="0" u="none" strike="noStrike">
            <a:solidFill>
              <a:schemeClr val="accent5"/>
            </a:solidFill>
            <a:latin typeface="Times New Roman"/>
            <a:cs typeface="Times New Roman"/>
          </a:endParaRPr>
        </a:p>
        <a:p>
          <a:pPr algn="ctr"/>
          <a:r>
            <a:rPr lang="en-US" sz="1050" b="0" i="0" u="none" strike="noStrike">
              <a:solidFill>
                <a:schemeClr val="accent5"/>
              </a:solidFill>
              <a:latin typeface="Times New Roman"/>
              <a:cs typeface="Times New Roman"/>
            </a:rPr>
            <a:t>Avg.</a:t>
          </a:r>
          <a:r>
            <a:rPr lang="en-US" sz="1050" b="0" i="0" u="none" strike="noStrike" baseline="0">
              <a:solidFill>
                <a:schemeClr val="accent5"/>
              </a:solidFill>
              <a:latin typeface="Times New Roman"/>
              <a:cs typeface="Times New Roman"/>
            </a:rPr>
            <a:t> Bonus</a:t>
          </a:r>
          <a:endParaRPr lang="en-US" sz="1100">
            <a:solidFill>
              <a:schemeClr val="accent5"/>
            </a:solidFill>
          </a:endParaRPr>
        </a:p>
      </xdr:txBody>
    </xdr:sp>
    <xdr:clientData/>
  </xdr:twoCellAnchor>
  <xdr:twoCellAnchor>
    <xdr:from>
      <xdr:col>0</xdr:col>
      <xdr:colOff>47624</xdr:colOff>
      <xdr:row>4</xdr:row>
      <xdr:rowOff>28575</xdr:rowOff>
    </xdr:from>
    <xdr:to>
      <xdr:col>6</xdr:col>
      <xdr:colOff>276225</xdr:colOff>
      <xdr:row>16</xdr:row>
      <xdr:rowOff>38100</xdr:rowOff>
    </xdr:to>
    <xdr:grpSp>
      <xdr:nvGrpSpPr>
        <xdr:cNvPr id="9" name="Group 8">
          <a:extLst>
            <a:ext uri="{FF2B5EF4-FFF2-40B4-BE49-F238E27FC236}">
              <a16:creationId xmlns:a16="http://schemas.microsoft.com/office/drawing/2014/main" id="{8908D44C-5674-0574-C9A2-B40D379701F9}"/>
            </a:ext>
          </a:extLst>
        </xdr:cNvPr>
        <xdr:cNvGrpSpPr/>
      </xdr:nvGrpSpPr>
      <xdr:grpSpPr>
        <a:xfrm>
          <a:off x="47624" y="790575"/>
          <a:ext cx="3886201" cy="2295525"/>
          <a:chOff x="47624" y="3124200"/>
          <a:chExt cx="3362326" cy="2295525"/>
        </a:xfrm>
      </xdr:grpSpPr>
      <xdr:sp macro="" textlink="">
        <xdr:nvSpPr>
          <xdr:cNvPr id="64" name="Rectangle: Rounded Corners 63">
            <a:extLst>
              <a:ext uri="{FF2B5EF4-FFF2-40B4-BE49-F238E27FC236}">
                <a16:creationId xmlns:a16="http://schemas.microsoft.com/office/drawing/2014/main" id="{2D2E2F4D-4E55-4D13-8F4A-B4F3D897CCB0}"/>
              </a:ext>
            </a:extLst>
          </xdr:cNvPr>
          <xdr:cNvSpPr/>
        </xdr:nvSpPr>
        <xdr:spPr>
          <a:xfrm>
            <a:off x="47624" y="3124200"/>
            <a:ext cx="3362325" cy="225742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6" name="Chart 75">
            <a:extLst>
              <a:ext uri="{FF2B5EF4-FFF2-40B4-BE49-F238E27FC236}">
                <a16:creationId xmlns:a16="http://schemas.microsoft.com/office/drawing/2014/main" id="{ED405090-45A9-4A3D-905A-D9F02593FC9D}"/>
              </a:ext>
            </a:extLst>
          </xdr:cNvPr>
          <xdr:cNvGraphicFramePr>
            <a:graphicFrameLocks/>
          </xdr:cNvGraphicFramePr>
        </xdr:nvGraphicFramePr>
        <xdr:xfrm>
          <a:off x="47625" y="3124200"/>
          <a:ext cx="3362325" cy="22955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381000</xdr:colOff>
      <xdr:row>16</xdr:row>
      <xdr:rowOff>85725</xdr:rowOff>
    </xdr:from>
    <xdr:to>
      <xdr:col>10</xdr:col>
      <xdr:colOff>323850</xdr:colOff>
      <xdr:row>28</xdr:row>
      <xdr:rowOff>47625</xdr:rowOff>
    </xdr:to>
    <xdr:grpSp>
      <xdr:nvGrpSpPr>
        <xdr:cNvPr id="7" name="Group 6">
          <a:extLst>
            <a:ext uri="{FF2B5EF4-FFF2-40B4-BE49-F238E27FC236}">
              <a16:creationId xmlns:a16="http://schemas.microsoft.com/office/drawing/2014/main" id="{8B88CB21-E074-87FC-0868-A2CFFA1F1A17}"/>
            </a:ext>
          </a:extLst>
        </xdr:cNvPr>
        <xdr:cNvGrpSpPr/>
      </xdr:nvGrpSpPr>
      <xdr:grpSpPr>
        <a:xfrm>
          <a:off x="3429000" y="3133725"/>
          <a:ext cx="2990850" cy="2247900"/>
          <a:chOff x="5343524" y="819150"/>
          <a:chExt cx="2571751" cy="2276475"/>
        </a:xfrm>
      </xdr:grpSpPr>
      <xdr:sp macro="" textlink="">
        <xdr:nvSpPr>
          <xdr:cNvPr id="67" name="Rectangle: Rounded Corners 66">
            <a:extLst>
              <a:ext uri="{FF2B5EF4-FFF2-40B4-BE49-F238E27FC236}">
                <a16:creationId xmlns:a16="http://schemas.microsoft.com/office/drawing/2014/main" id="{2F14C646-DD80-404C-845F-323D2497A254}"/>
              </a:ext>
            </a:extLst>
          </xdr:cNvPr>
          <xdr:cNvSpPr/>
        </xdr:nvSpPr>
        <xdr:spPr>
          <a:xfrm>
            <a:off x="5343524" y="819150"/>
            <a:ext cx="2571751" cy="2276475"/>
          </a:xfrm>
          <a:prstGeom prst="roundRect">
            <a:avLst>
              <a:gd name="adj" fmla="val 920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7" name="Chart 76">
            <a:extLst>
              <a:ext uri="{FF2B5EF4-FFF2-40B4-BE49-F238E27FC236}">
                <a16:creationId xmlns:a16="http://schemas.microsoft.com/office/drawing/2014/main" id="{839620DC-1D9E-491E-BDF2-462E7F0AA008}"/>
              </a:ext>
            </a:extLst>
          </xdr:cNvPr>
          <xdr:cNvGraphicFramePr>
            <a:graphicFrameLocks/>
          </xdr:cNvGraphicFramePr>
        </xdr:nvGraphicFramePr>
        <xdr:xfrm>
          <a:off x="5343524" y="819150"/>
          <a:ext cx="2533651" cy="22193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200026</xdr:colOff>
      <xdr:row>0</xdr:row>
      <xdr:rowOff>0</xdr:rowOff>
    </xdr:from>
    <xdr:to>
      <xdr:col>1</xdr:col>
      <xdr:colOff>396388</xdr:colOff>
      <xdr:row>4</xdr:row>
      <xdr:rowOff>76200</xdr:rowOff>
    </xdr:to>
    <xdr:pic>
      <xdr:nvPicPr>
        <xdr:cNvPr id="79" name="Picture 78">
          <a:extLst>
            <a:ext uri="{FF2B5EF4-FFF2-40B4-BE49-F238E27FC236}">
              <a16:creationId xmlns:a16="http://schemas.microsoft.com/office/drawing/2014/main" id="{2418385F-15C0-36D1-7435-CD394C6C9B1E}"/>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aturation sat="200000"/>
                  </a14:imgEffect>
                </a14:imgLayer>
              </a14:imgProps>
            </a:ext>
            <a:ext uri="{28A0092B-C50C-407E-A947-70E740481C1C}">
              <a14:useLocalDpi xmlns:a14="http://schemas.microsoft.com/office/drawing/2010/main" val="0"/>
            </a:ext>
          </a:extLst>
        </a:blip>
        <a:stretch>
          <a:fillRect/>
        </a:stretch>
      </xdr:blipFill>
      <xdr:spPr>
        <a:xfrm>
          <a:off x="200026" y="0"/>
          <a:ext cx="805962" cy="838200"/>
        </a:xfrm>
        <a:prstGeom prst="rect">
          <a:avLst/>
        </a:prstGeom>
      </xdr:spPr>
    </xdr:pic>
    <xdr:clientData/>
  </xdr:twoCellAnchor>
  <xdr:twoCellAnchor editAs="oneCell">
    <xdr:from>
      <xdr:col>13</xdr:col>
      <xdr:colOff>28575</xdr:colOff>
      <xdr:row>4</xdr:row>
      <xdr:rowOff>114300</xdr:rowOff>
    </xdr:from>
    <xdr:to>
      <xdr:col>15</xdr:col>
      <xdr:colOff>561975</xdr:colOff>
      <xdr:row>22</xdr:row>
      <xdr:rowOff>114300</xdr:rowOff>
    </xdr:to>
    <mc:AlternateContent xmlns:mc="http://schemas.openxmlformats.org/markup-compatibility/2006" xmlns:a14="http://schemas.microsoft.com/office/drawing/2010/main">
      <mc:Choice Requires="a14">
        <xdr:graphicFrame macro="">
          <xdr:nvGraphicFramePr>
            <xdr:cNvPr id="69" name="Department 1">
              <a:extLst>
                <a:ext uri="{FF2B5EF4-FFF2-40B4-BE49-F238E27FC236}">
                  <a16:creationId xmlns:a16="http://schemas.microsoft.com/office/drawing/2014/main" id="{84E72396-E4E1-4B36-A728-B38BD0EB521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953375" y="876300"/>
              <a:ext cx="1752600" cy="342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333374</xdr:colOff>
      <xdr:row>24</xdr:row>
      <xdr:rowOff>28574</xdr:rowOff>
    </xdr:from>
    <xdr:to>
      <xdr:col>25</xdr:col>
      <xdr:colOff>295275</xdr:colOff>
      <xdr:row>27</xdr:row>
      <xdr:rowOff>28575</xdr:rowOff>
    </xdr:to>
    <xdr:pic>
      <xdr:nvPicPr>
        <xdr:cNvPr id="4" name="Picture 3">
          <a:extLst>
            <a:ext uri="{FF2B5EF4-FFF2-40B4-BE49-F238E27FC236}">
              <a16:creationId xmlns:a16="http://schemas.microsoft.com/office/drawing/2014/main" id="{824C521E-639D-02C9-D440-1746864A6A6D}"/>
            </a:ext>
          </a:extLst>
        </xdr:cNvPr>
        <xdr:cNvPicPr>
          <a:picLocks noChangeAspect="1"/>
        </xdr:cNvPicPr>
      </xdr:nvPicPr>
      <xdr:blipFill>
        <a:blip xmlns:r="http://schemas.openxmlformats.org/officeDocument/2006/relationships" r:embed="rId7"/>
        <a:stretch>
          <a:fillRect/>
        </a:stretch>
      </xdr:blipFill>
      <xdr:spPr>
        <a:xfrm>
          <a:off x="14963774" y="4600574"/>
          <a:ext cx="571501" cy="571501"/>
        </a:xfrm>
        <a:prstGeom prst="rect">
          <a:avLst/>
        </a:prstGeom>
      </xdr:spPr>
    </xdr:pic>
    <xdr:clientData/>
  </xdr:twoCellAnchor>
  <xdr:twoCellAnchor editAs="oneCell">
    <xdr:from>
      <xdr:col>21</xdr:col>
      <xdr:colOff>504825</xdr:colOff>
      <xdr:row>16</xdr:row>
      <xdr:rowOff>114300</xdr:rowOff>
    </xdr:from>
    <xdr:to>
      <xdr:col>22</xdr:col>
      <xdr:colOff>600075</xdr:colOff>
      <xdr:row>20</xdr:row>
      <xdr:rowOff>57150</xdr:rowOff>
    </xdr:to>
    <xdr:pic>
      <xdr:nvPicPr>
        <xdr:cNvPr id="10" name="Picture 9">
          <a:extLst>
            <a:ext uri="{FF2B5EF4-FFF2-40B4-BE49-F238E27FC236}">
              <a16:creationId xmlns:a16="http://schemas.microsoft.com/office/drawing/2014/main" id="{EF869FAF-2516-6312-10F0-15A0CD52B0DD}"/>
            </a:ext>
          </a:extLst>
        </xdr:cNvPr>
        <xdr:cNvPicPr>
          <a:picLocks noChangeAspect="1"/>
        </xdr:cNvPicPr>
      </xdr:nvPicPr>
      <xdr:blipFill>
        <a:blip xmlns:r="http://schemas.openxmlformats.org/officeDocument/2006/relationships" r:embed="rId8"/>
        <a:stretch>
          <a:fillRect/>
        </a:stretch>
      </xdr:blipFill>
      <xdr:spPr>
        <a:xfrm>
          <a:off x="13306425" y="3162300"/>
          <a:ext cx="704850" cy="704850"/>
        </a:xfrm>
        <a:prstGeom prst="rect">
          <a:avLst/>
        </a:prstGeom>
      </xdr:spPr>
    </xdr:pic>
    <xdr:clientData/>
  </xdr:twoCellAnchor>
  <xdr:twoCellAnchor editAs="oneCell">
    <xdr:from>
      <xdr:col>24</xdr:col>
      <xdr:colOff>228600</xdr:colOff>
      <xdr:row>14</xdr:row>
      <xdr:rowOff>171450</xdr:rowOff>
    </xdr:from>
    <xdr:to>
      <xdr:col>25</xdr:col>
      <xdr:colOff>228600</xdr:colOff>
      <xdr:row>18</xdr:row>
      <xdr:rowOff>19050</xdr:rowOff>
    </xdr:to>
    <xdr:pic>
      <xdr:nvPicPr>
        <xdr:cNvPr id="11" name="Picture 10">
          <a:extLst>
            <a:ext uri="{FF2B5EF4-FFF2-40B4-BE49-F238E27FC236}">
              <a16:creationId xmlns:a16="http://schemas.microsoft.com/office/drawing/2014/main" id="{6348CB58-3922-71E1-CBB5-9FDCAAC47D31}"/>
            </a:ext>
          </a:extLst>
        </xdr:cNvPr>
        <xdr:cNvPicPr>
          <a:picLocks noChangeAspect="1"/>
        </xdr:cNvPicPr>
      </xdr:nvPicPr>
      <xdr:blipFill>
        <a:blip xmlns:r="http://schemas.openxmlformats.org/officeDocument/2006/relationships" r:embed="rId9"/>
        <a:stretch>
          <a:fillRect/>
        </a:stretch>
      </xdr:blipFill>
      <xdr:spPr>
        <a:xfrm>
          <a:off x="14859000" y="2838450"/>
          <a:ext cx="609600" cy="609600"/>
        </a:xfrm>
        <a:prstGeom prst="rect">
          <a:avLst/>
        </a:prstGeom>
      </xdr:spPr>
    </xdr:pic>
    <xdr:clientData/>
  </xdr:twoCellAnchor>
  <xdr:twoCellAnchor editAs="oneCell">
    <xdr:from>
      <xdr:col>21</xdr:col>
      <xdr:colOff>0</xdr:colOff>
      <xdr:row>25</xdr:row>
      <xdr:rowOff>0</xdr:rowOff>
    </xdr:from>
    <xdr:to>
      <xdr:col>23</xdr:col>
      <xdr:colOff>0</xdr:colOff>
      <xdr:row>31</xdr:row>
      <xdr:rowOff>76200</xdr:rowOff>
    </xdr:to>
    <xdr:pic>
      <xdr:nvPicPr>
        <xdr:cNvPr id="13" name="Picture 12" descr="Department ">
          <a:extLst>
            <a:ext uri="{FF2B5EF4-FFF2-40B4-BE49-F238E27FC236}">
              <a16:creationId xmlns:a16="http://schemas.microsoft.com/office/drawing/2014/main" id="{D929007D-1B1C-FFBB-296F-CCF3C3F302F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801600" y="476250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352424</xdr:colOff>
      <xdr:row>6</xdr:row>
      <xdr:rowOff>57149</xdr:rowOff>
    </xdr:from>
    <xdr:to>
      <xdr:col>22</xdr:col>
      <xdr:colOff>352425</xdr:colOff>
      <xdr:row>9</xdr:row>
      <xdr:rowOff>95250</xdr:rowOff>
    </xdr:to>
    <xdr:pic>
      <xdr:nvPicPr>
        <xdr:cNvPr id="14" name="Picture 13">
          <a:extLst>
            <a:ext uri="{FF2B5EF4-FFF2-40B4-BE49-F238E27FC236}">
              <a16:creationId xmlns:a16="http://schemas.microsoft.com/office/drawing/2014/main" id="{B73B436C-6146-E541-8A5A-14021D21A6DB}"/>
            </a:ext>
          </a:extLst>
        </xdr:cNvPr>
        <xdr:cNvPicPr>
          <a:picLocks noChangeAspect="1"/>
        </xdr:cNvPicPr>
      </xdr:nvPicPr>
      <xdr:blipFill>
        <a:blip xmlns:r="http://schemas.openxmlformats.org/officeDocument/2006/relationships" r:embed="rId11"/>
        <a:stretch>
          <a:fillRect/>
        </a:stretch>
      </xdr:blipFill>
      <xdr:spPr>
        <a:xfrm>
          <a:off x="13154024" y="1200149"/>
          <a:ext cx="609601" cy="609601"/>
        </a:xfrm>
        <a:prstGeom prst="rect">
          <a:avLst/>
        </a:prstGeom>
      </xdr:spPr>
    </xdr:pic>
    <xdr:clientData/>
  </xdr:twoCellAnchor>
  <xdr:twoCellAnchor editAs="oneCell">
    <xdr:from>
      <xdr:col>24</xdr:col>
      <xdr:colOff>228600</xdr:colOff>
      <xdr:row>3</xdr:row>
      <xdr:rowOff>47625</xdr:rowOff>
    </xdr:from>
    <xdr:to>
      <xdr:col>25</xdr:col>
      <xdr:colOff>466725</xdr:colOff>
      <xdr:row>7</xdr:row>
      <xdr:rowOff>133350</xdr:rowOff>
    </xdr:to>
    <xdr:pic>
      <xdr:nvPicPr>
        <xdr:cNvPr id="20" name="Picture 19">
          <a:extLst>
            <a:ext uri="{FF2B5EF4-FFF2-40B4-BE49-F238E27FC236}">
              <a16:creationId xmlns:a16="http://schemas.microsoft.com/office/drawing/2014/main" id="{89694C02-C9D6-B276-CE1B-19BF1DC46C74}"/>
            </a:ext>
          </a:extLst>
        </xdr:cNvPr>
        <xdr:cNvPicPr>
          <a:picLocks noChangeAspect="1"/>
        </xdr:cNvPicPr>
      </xdr:nvPicPr>
      <xdr:blipFill>
        <a:blip xmlns:r="http://schemas.openxmlformats.org/officeDocument/2006/relationships" r:embed="rId12"/>
        <a:stretch>
          <a:fillRect/>
        </a:stretch>
      </xdr:blipFill>
      <xdr:spPr>
        <a:xfrm>
          <a:off x="14859000" y="619125"/>
          <a:ext cx="847725" cy="8477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590550</xdr:colOff>
      <xdr:row>35</xdr:row>
      <xdr:rowOff>123824</xdr:rowOff>
    </xdr:to>
    <xdr:sp macro="" textlink="">
      <xdr:nvSpPr>
        <xdr:cNvPr id="2" name="Rectangle: Rounded Corners 1">
          <a:extLst>
            <a:ext uri="{FF2B5EF4-FFF2-40B4-BE49-F238E27FC236}">
              <a16:creationId xmlns:a16="http://schemas.microsoft.com/office/drawing/2014/main" id="{2EA16D0F-77D5-4843-AE0B-7A5D93D85AD8}"/>
            </a:ext>
          </a:extLst>
        </xdr:cNvPr>
        <xdr:cNvSpPr/>
      </xdr:nvSpPr>
      <xdr:spPr>
        <a:xfrm>
          <a:off x="0" y="0"/>
          <a:ext cx="12172950" cy="6791324"/>
        </a:xfrm>
        <a:prstGeom prst="roundRect">
          <a:avLst>
            <a:gd name="adj" fmla="val 0"/>
          </a:avLst>
        </a:prstGeom>
        <a:solidFill>
          <a:srgbClr val="7A5C5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76201</xdr:colOff>
      <xdr:row>0</xdr:row>
      <xdr:rowOff>57150</xdr:rowOff>
    </xdr:from>
    <xdr:to>
      <xdr:col>1</xdr:col>
      <xdr:colOff>247651</xdr:colOff>
      <xdr:row>4</xdr:row>
      <xdr:rowOff>9525</xdr:rowOff>
    </xdr:to>
    <xdr:sp macro="" textlink="">
      <xdr:nvSpPr>
        <xdr:cNvPr id="3" name="Rectangle: Rounded Corners 2">
          <a:extLst>
            <a:ext uri="{FF2B5EF4-FFF2-40B4-BE49-F238E27FC236}">
              <a16:creationId xmlns:a16="http://schemas.microsoft.com/office/drawing/2014/main" id="{FEC64786-EB99-4290-AAF9-894DEF50F194}"/>
            </a:ext>
          </a:extLst>
        </xdr:cNvPr>
        <xdr:cNvSpPr/>
      </xdr:nvSpPr>
      <xdr:spPr>
        <a:xfrm>
          <a:off x="76201" y="57150"/>
          <a:ext cx="781050" cy="714375"/>
        </a:xfrm>
        <a:prstGeom prst="roundRect">
          <a:avLst>
            <a:gd name="adj" fmla="val 6219"/>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266700</xdr:colOff>
      <xdr:row>0</xdr:row>
      <xdr:rowOff>76200</xdr:rowOff>
    </xdr:from>
    <xdr:to>
      <xdr:col>13</xdr:col>
      <xdr:colOff>0</xdr:colOff>
      <xdr:row>3</xdr:row>
      <xdr:rowOff>180975</xdr:rowOff>
    </xdr:to>
    <xdr:sp macro="" textlink="">
      <xdr:nvSpPr>
        <xdr:cNvPr id="4" name="TextBox 3">
          <a:extLst>
            <a:ext uri="{FF2B5EF4-FFF2-40B4-BE49-F238E27FC236}">
              <a16:creationId xmlns:a16="http://schemas.microsoft.com/office/drawing/2014/main" id="{7F5F6BFA-23F7-41B8-935F-33D75C08D7D7}"/>
            </a:ext>
          </a:extLst>
        </xdr:cNvPr>
        <xdr:cNvSpPr txBox="1"/>
      </xdr:nvSpPr>
      <xdr:spPr>
        <a:xfrm>
          <a:off x="876300" y="76200"/>
          <a:ext cx="7048500" cy="676275"/>
        </a:xfrm>
        <a:prstGeom prst="roundRect">
          <a:avLst>
            <a:gd name="adj" fmla="val 11033"/>
          </a:avLst>
        </a:prstGeom>
        <a:solidFill>
          <a:srgbClr val="8776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cap="none" spc="0">
              <a:ln w="0"/>
              <a:solidFill>
                <a:srgbClr val="F9DB6D"/>
              </a:solidFill>
              <a:effectLst>
                <a:outerShdw blurRad="63500" sx="102000" sy="102000" algn="ctr" rotWithShape="0">
                  <a:prstClr val="black">
                    <a:alpha val="40000"/>
                  </a:prstClr>
                </a:outerShdw>
              </a:effectLst>
              <a:latin typeface="Broadway" panose="04040905080B02020502" pitchFamily="82" charset="0"/>
            </a:rPr>
            <a:t>PALMORIA GROUP</a:t>
          </a:r>
          <a:r>
            <a:rPr lang="en-US" sz="2400" b="1" cap="none" spc="0" baseline="0">
              <a:ln w="0"/>
              <a:solidFill>
                <a:srgbClr val="F9DB6D"/>
              </a:solidFill>
              <a:effectLst>
                <a:outerShdw blurRad="63500" sx="102000" sy="102000" algn="ctr" rotWithShape="0">
                  <a:prstClr val="black">
                    <a:alpha val="40000"/>
                  </a:prstClr>
                </a:outerShdw>
              </a:effectLst>
              <a:latin typeface="Broadway" panose="04040905080B02020502" pitchFamily="82" charset="0"/>
            </a:rPr>
            <a:t> EMPLOYEE ANALYSIS</a:t>
          </a:r>
          <a:endParaRPr lang="en-US" sz="2400" b="1" cap="none" spc="0">
            <a:ln w="0"/>
            <a:solidFill>
              <a:srgbClr val="F9DB6D"/>
            </a:solidFill>
            <a:effectLst>
              <a:outerShdw blurRad="63500" sx="102000" sy="102000" algn="ctr" rotWithShape="0">
                <a:prstClr val="black">
                  <a:alpha val="40000"/>
                </a:prstClr>
              </a:outerShdw>
            </a:effectLst>
            <a:latin typeface="Broadway" panose="04040905080B02020502" pitchFamily="82" charset="0"/>
          </a:endParaRPr>
        </a:p>
      </xdr:txBody>
    </xdr:sp>
    <xdr:clientData/>
  </xdr:twoCellAnchor>
  <xdr:twoCellAnchor editAs="oneCell">
    <xdr:from>
      <xdr:col>13</xdr:col>
      <xdr:colOff>19051</xdr:colOff>
      <xdr:row>22</xdr:row>
      <xdr:rowOff>104775</xdr:rowOff>
    </xdr:from>
    <xdr:to>
      <xdr:col>15</xdr:col>
      <xdr:colOff>552451</xdr:colOff>
      <xdr:row>28</xdr:row>
      <xdr:rowOff>95250</xdr:rowOff>
    </xdr:to>
    <mc:AlternateContent xmlns:mc="http://schemas.openxmlformats.org/markup-compatibility/2006" xmlns:a14="http://schemas.microsoft.com/office/drawing/2010/main">
      <mc:Choice Requires="a14">
        <xdr:graphicFrame macro="">
          <xdr:nvGraphicFramePr>
            <xdr:cNvPr id="5" name="Location 1">
              <a:extLst>
                <a:ext uri="{FF2B5EF4-FFF2-40B4-BE49-F238E27FC236}">
                  <a16:creationId xmlns:a16="http://schemas.microsoft.com/office/drawing/2014/main" id="{037A8825-B0E9-4808-B989-61E7282A224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7943851" y="4295775"/>
              <a:ext cx="17526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438150</xdr:colOff>
      <xdr:row>16</xdr:row>
      <xdr:rowOff>95250</xdr:rowOff>
    </xdr:from>
    <xdr:to>
      <xdr:col>12</xdr:col>
      <xdr:colOff>561975</xdr:colOff>
      <xdr:row>28</xdr:row>
      <xdr:rowOff>28575</xdr:rowOff>
    </xdr:to>
    <mc:AlternateContent xmlns:mc="http://schemas.openxmlformats.org/markup-compatibility/2006" xmlns:a14="http://schemas.microsoft.com/office/drawing/2010/main">
      <mc:Choice Requires="a14">
        <xdr:graphicFrame macro="">
          <xdr:nvGraphicFramePr>
            <xdr:cNvPr id="6" name="Rating 1">
              <a:extLst>
                <a:ext uri="{FF2B5EF4-FFF2-40B4-BE49-F238E27FC236}">
                  <a16:creationId xmlns:a16="http://schemas.microsoft.com/office/drawing/2014/main" id="{C2798C2A-90B6-42D5-A672-A22AB15033EC}"/>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6534150" y="3143250"/>
              <a:ext cx="1343025"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590551</xdr:colOff>
      <xdr:row>0</xdr:row>
      <xdr:rowOff>28575</xdr:rowOff>
    </xdr:from>
    <xdr:to>
      <xdr:col>19</xdr:col>
      <xdr:colOff>457201</xdr:colOff>
      <xdr:row>28</xdr:row>
      <xdr:rowOff>66674</xdr:rowOff>
    </xdr:to>
    <xdr:sp macro="" textlink="">
      <xdr:nvSpPr>
        <xdr:cNvPr id="7" name="Rectangle: Rounded Corners 6">
          <a:extLst>
            <a:ext uri="{FF2B5EF4-FFF2-40B4-BE49-F238E27FC236}">
              <a16:creationId xmlns:a16="http://schemas.microsoft.com/office/drawing/2014/main" id="{10048A51-E3B2-4EB5-AFEE-F63AF199C6AD}"/>
            </a:ext>
          </a:extLst>
        </xdr:cNvPr>
        <xdr:cNvSpPr/>
      </xdr:nvSpPr>
      <xdr:spPr>
        <a:xfrm>
          <a:off x="9734551" y="28575"/>
          <a:ext cx="2305050" cy="5372099"/>
        </a:xfrm>
        <a:prstGeom prst="roundRect">
          <a:avLst>
            <a:gd name="adj" fmla="val 2475"/>
          </a:avLst>
        </a:prstGeom>
        <a:solidFill>
          <a:srgbClr val="F4ED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28575</xdr:colOff>
      <xdr:row>0</xdr:row>
      <xdr:rowOff>57150</xdr:rowOff>
    </xdr:from>
    <xdr:to>
      <xdr:col>19</xdr:col>
      <xdr:colOff>409575</xdr:colOff>
      <xdr:row>3</xdr:row>
      <xdr:rowOff>104775</xdr:rowOff>
    </xdr:to>
    <xdr:sp macro="" textlink="Aggregates!B3">
      <xdr:nvSpPr>
        <xdr:cNvPr id="8" name="TextBox 7">
          <a:extLst>
            <a:ext uri="{FF2B5EF4-FFF2-40B4-BE49-F238E27FC236}">
              <a16:creationId xmlns:a16="http://schemas.microsoft.com/office/drawing/2014/main" id="{59D80FCB-5903-475F-9C0D-0E41603DF6A5}"/>
            </a:ext>
          </a:extLst>
        </xdr:cNvPr>
        <xdr:cNvSpPr txBox="1"/>
      </xdr:nvSpPr>
      <xdr:spPr>
        <a:xfrm>
          <a:off x="9782175" y="57150"/>
          <a:ext cx="2209800" cy="619125"/>
        </a:xfrm>
        <a:prstGeom prst="roundRect">
          <a:avLst>
            <a:gd name="adj" fmla="val 10785"/>
          </a:avLst>
        </a:prstGeom>
        <a:solidFill>
          <a:srgbClr val="8776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0605D-2146-4CAB-BAC0-BF7A0A9BA96D}" type="TxLink">
            <a:rPr lang="en-US" sz="2000" b="1" i="0" u="none" strike="noStrike">
              <a:solidFill>
                <a:srgbClr val="F9DB6D"/>
              </a:solidFill>
              <a:latin typeface="Times New Roman"/>
              <a:cs typeface="Times New Roman"/>
            </a:rPr>
            <a:pPr algn="ctr"/>
            <a:t>874</a:t>
          </a:fld>
          <a:endParaRPr lang="en-US" sz="2000" b="1" i="0" u="none" strike="noStrike">
            <a:solidFill>
              <a:srgbClr val="F9DB6D"/>
            </a:solidFill>
            <a:latin typeface="Times New Roman"/>
            <a:cs typeface="Times New Roman"/>
          </a:endParaRPr>
        </a:p>
        <a:p>
          <a:pPr algn="ctr"/>
          <a:r>
            <a:rPr lang="en-US" sz="1100" b="0" i="0" u="none" strike="noStrike">
              <a:solidFill>
                <a:srgbClr val="F9DB6D"/>
              </a:solidFill>
              <a:latin typeface="Times New Roman"/>
              <a:cs typeface="Times New Roman"/>
            </a:rPr>
            <a:t>Total employees</a:t>
          </a:r>
          <a:endParaRPr lang="en-US" sz="2000">
            <a:solidFill>
              <a:srgbClr val="F9DB6D"/>
            </a:solidFill>
          </a:endParaRPr>
        </a:p>
      </xdr:txBody>
    </xdr:sp>
    <xdr:clientData/>
  </xdr:twoCellAnchor>
  <xdr:twoCellAnchor>
    <xdr:from>
      <xdr:col>16</xdr:col>
      <xdr:colOff>47625</xdr:colOff>
      <xdr:row>14</xdr:row>
      <xdr:rowOff>123825</xdr:rowOff>
    </xdr:from>
    <xdr:to>
      <xdr:col>19</xdr:col>
      <xdr:colOff>400050</xdr:colOff>
      <xdr:row>18</xdr:row>
      <xdr:rowOff>0</xdr:rowOff>
    </xdr:to>
    <xdr:sp macro="" textlink="Aggregates!N3">
      <xdr:nvSpPr>
        <xdr:cNvPr id="9" name="Rectangle: Rounded Corners 8">
          <a:extLst>
            <a:ext uri="{FF2B5EF4-FFF2-40B4-BE49-F238E27FC236}">
              <a16:creationId xmlns:a16="http://schemas.microsoft.com/office/drawing/2014/main" id="{DFB8277A-A3B6-4102-A63A-2EB38A755F93}"/>
            </a:ext>
          </a:extLst>
        </xdr:cNvPr>
        <xdr:cNvSpPr/>
      </xdr:nvSpPr>
      <xdr:spPr>
        <a:xfrm>
          <a:off x="9801225" y="2790825"/>
          <a:ext cx="2181225" cy="638175"/>
        </a:xfrm>
        <a:prstGeom prst="roundRect">
          <a:avLst>
            <a:gd name="adj" fmla="val 9910"/>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ED87F1-97BD-489E-9639-BC8820890D9E}" type="TxLink">
            <a:rPr lang="en-US" sz="1800" b="1" i="0" u="none" strike="noStrike">
              <a:solidFill>
                <a:srgbClr val="F9DB6D"/>
              </a:solidFill>
              <a:latin typeface="Times New Roman"/>
              <a:cs typeface="Times New Roman"/>
            </a:rPr>
            <a:pPr algn="ctr"/>
            <a:t>₦ 2,031,197.97</a:t>
          </a:fld>
          <a:endParaRPr lang="en-US" sz="1800" b="1" i="0" u="none" strike="noStrike">
            <a:solidFill>
              <a:srgbClr val="F9DB6D"/>
            </a:solidFill>
            <a:latin typeface="Times New Roman"/>
            <a:cs typeface="Times New Roman"/>
          </a:endParaRPr>
        </a:p>
        <a:p>
          <a:pPr algn="ctr"/>
          <a:r>
            <a:rPr lang="en-US" sz="1050" b="0" i="0" u="none" strike="noStrike">
              <a:solidFill>
                <a:srgbClr val="F9DB6D"/>
              </a:solidFill>
              <a:latin typeface="Times New Roman"/>
              <a:cs typeface="Times New Roman"/>
            </a:rPr>
            <a:t>Total Bonus</a:t>
          </a:r>
          <a:endParaRPr lang="en-US" sz="900">
            <a:solidFill>
              <a:srgbClr val="F9DB6D"/>
            </a:solidFill>
          </a:endParaRPr>
        </a:p>
      </xdr:txBody>
    </xdr:sp>
    <xdr:clientData/>
  </xdr:twoCellAnchor>
  <xdr:twoCellAnchor>
    <xdr:from>
      <xdr:col>16</xdr:col>
      <xdr:colOff>38100</xdr:colOff>
      <xdr:row>10</xdr:row>
      <xdr:rowOff>142876</xdr:rowOff>
    </xdr:from>
    <xdr:to>
      <xdr:col>19</xdr:col>
      <xdr:colOff>419100</xdr:colOff>
      <xdr:row>14</xdr:row>
      <xdr:rowOff>85726</xdr:rowOff>
    </xdr:to>
    <xdr:sp macro="" textlink="Aggregates!K3">
      <xdr:nvSpPr>
        <xdr:cNvPr id="10" name="Rectangle: Rounded Corners 9">
          <a:extLst>
            <a:ext uri="{FF2B5EF4-FFF2-40B4-BE49-F238E27FC236}">
              <a16:creationId xmlns:a16="http://schemas.microsoft.com/office/drawing/2014/main" id="{79B12447-9A43-4524-A570-F7CEAD597329}"/>
            </a:ext>
          </a:extLst>
        </xdr:cNvPr>
        <xdr:cNvSpPr/>
      </xdr:nvSpPr>
      <xdr:spPr>
        <a:xfrm>
          <a:off x="9791700" y="2047876"/>
          <a:ext cx="2209800" cy="704850"/>
        </a:xfrm>
        <a:prstGeom prst="roundRect">
          <a:avLst>
            <a:gd name="adj" fmla="val 9260"/>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367368-898F-4BDC-BFDA-B8D3A06D642C}" type="TxLink">
            <a:rPr lang="en-US" sz="2000" b="1" i="0" u="none" strike="noStrike">
              <a:solidFill>
                <a:srgbClr val="F9DB6D"/>
              </a:solidFill>
              <a:latin typeface="Times New Roman"/>
              <a:cs typeface="Times New Roman"/>
            </a:rPr>
            <a:pPr algn="ctr"/>
            <a:t>₦ 64,528,740</a:t>
          </a:fld>
          <a:endParaRPr lang="en-US" sz="2000" b="1" i="0" u="none" strike="noStrike">
            <a:solidFill>
              <a:srgbClr val="F9DB6D"/>
            </a:solidFill>
            <a:latin typeface="Times New Roman"/>
            <a:cs typeface="Times New Roman"/>
          </a:endParaRPr>
        </a:p>
        <a:p>
          <a:pPr algn="ctr"/>
          <a:r>
            <a:rPr lang="en-US" sz="1100" b="0" i="0" u="none" strike="noStrike">
              <a:solidFill>
                <a:srgbClr val="F9DB6D"/>
              </a:solidFill>
              <a:latin typeface="Times New Roman"/>
              <a:cs typeface="Times New Roman"/>
            </a:rPr>
            <a:t>Total Salary</a:t>
          </a:r>
          <a:endParaRPr lang="en-US" sz="1100">
            <a:solidFill>
              <a:srgbClr val="F9DB6D"/>
            </a:solidFill>
          </a:endParaRPr>
        </a:p>
      </xdr:txBody>
    </xdr:sp>
    <xdr:clientData/>
  </xdr:twoCellAnchor>
  <xdr:twoCellAnchor>
    <xdr:from>
      <xdr:col>16</xdr:col>
      <xdr:colOff>85724</xdr:colOff>
      <xdr:row>7</xdr:row>
      <xdr:rowOff>47627</xdr:rowOff>
    </xdr:from>
    <xdr:to>
      <xdr:col>19</xdr:col>
      <xdr:colOff>419099</xdr:colOff>
      <xdr:row>10</xdr:row>
      <xdr:rowOff>114301</xdr:rowOff>
    </xdr:to>
    <xdr:sp macro="" textlink="Aggregates!K8">
      <xdr:nvSpPr>
        <xdr:cNvPr id="11" name="Rectangle: Rounded Corners 10">
          <a:extLst>
            <a:ext uri="{FF2B5EF4-FFF2-40B4-BE49-F238E27FC236}">
              <a16:creationId xmlns:a16="http://schemas.microsoft.com/office/drawing/2014/main" id="{49F12823-0121-481D-89A6-B4E733709CF2}"/>
            </a:ext>
          </a:extLst>
        </xdr:cNvPr>
        <xdr:cNvSpPr/>
      </xdr:nvSpPr>
      <xdr:spPr>
        <a:xfrm>
          <a:off x="9839324" y="1381127"/>
          <a:ext cx="2162175" cy="638174"/>
        </a:xfrm>
        <a:prstGeom prst="roundRect">
          <a:avLst>
            <a:gd name="adj" fmla="val 9260"/>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8E3DBE-0914-4041-997B-CD50934CA3EE}" type="TxLink">
            <a:rPr lang="en-US" sz="2000" b="1" i="0" u="none" strike="noStrike">
              <a:solidFill>
                <a:srgbClr val="F9DB6D"/>
              </a:solidFill>
              <a:latin typeface="Times New Roman"/>
              <a:cs typeface="Times New Roman"/>
            </a:rPr>
            <a:pPr algn="ctr"/>
            <a:t>₦ 66,559,937.97</a:t>
          </a:fld>
          <a:endParaRPr lang="en-US" sz="2000" b="1" i="0" u="none" strike="noStrike">
            <a:solidFill>
              <a:srgbClr val="F9DB6D"/>
            </a:solidFill>
            <a:latin typeface="Times New Roman"/>
            <a:cs typeface="Times New Roman"/>
          </a:endParaRPr>
        </a:p>
        <a:p>
          <a:pPr algn="ctr"/>
          <a:r>
            <a:rPr lang="en-US" sz="1100" b="0" i="0" u="none" strike="noStrike">
              <a:solidFill>
                <a:srgbClr val="F9DB6D"/>
              </a:solidFill>
              <a:latin typeface="Times New Roman"/>
              <a:cs typeface="Times New Roman"/>
            </a:rPr>
            <a:t>Total</a:t>
          </a:r>
          <a:r>
            <a:rPr lang="en-US" sz="1100" b="0" i="0" u="none" strike="noStrike" baseline="0">
              <a:solidFill>
                <a:srgbClr val="F9DB6D"/>
              </a:solidFill>
              <a:latin typeface="Times New Roman"/>
              <a:cs typeface="Times New Roman"/>
            </a:rPr>
            <a:t> Salary (bonus inclusive)</a:t>
          </a:r>
          <a:endParaRPr lang="en-US" sz="1100">
            <a:solidFill>
              <a:srgbClr val="F9DB6D"/>
            </a:solidFill>
          </a:endParaRPr>
        </a:p>
      </xdr:txBody>
    </xdr:sp>
    <xdr:clientData/>
  </xdr:twoCellAnchor>
  <xdr:twoCellAnchor>
    <xdr:from>
      <xdr:col>17</xdr:col>
      <xdr:colOff>552450</xdr:colOff>
      <xdr:row>21</xdr:row>
      <xdr:rowOff>114300</xdr:rowOff>
    </xdr:from>
    <xdr:to>
      <xdr:col>19</xdr:col>
      <xdr:colOff>419099</xdr:colOff>
      <xdr:row>24</xdr:row>
      <xdr:rowOff>142874</xdr:rowOff>
    </xdr:to>
    <xdr:sp macro="" textlink="Aggregates!N8">
      <xdr:nvSpPr>
        <xdr:cNvPr id="12" name="Rectangle: Rounded Corners 11">
          <a:extLst>
            <a:ext uri="{FF2B5EF4-FFF2-40B4-BE49-F238E27FC236}">
              <a16:creationId xmlns:a16="http://schemas.microsoft.com/office/drawing/2014/main" id="{6499C20D-4805-4F99-B4EF-35299DED4C3D}"/>
            </a:ext>
          </a:extLst>
        </xdr:cNvPr>
        <xdr:cNvSpPr/>
      </xdr:nvSpPr>
      <xdr:spPr>
        <a:xfrm>
          <a:off x="10915650" y="4114800"/>
          <a:ext cx="1085849" cy="600074"/>
        </a:xfrm>
        <a:prstGeom prst="roundRect">
          <a:avLst>
            <a:gd name="adj" fmla="val 8559"/>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76693F-689F-4991-83C7-19EDF99DD2A7}" type="TxLink">
            <a:rPr lang="en-US" sz="1600" b="1" i="0" u="none" strike="noStrike">
              <a:solidFill>
                <a:srgbClr val="F9DB6D"/>
              </a:solidFill>
              <a:latin typeface="Times New Roman"/>
              <a:cs typeface="Times New Roman"/>
            </a:rPr>
            <a:pPr algn="ctr"/>
            <a:t>3.14%</a:t>
          </a:fld>
          <a:endParaRPr lang="en-US" sz="1600" b="1" i="0" u="none" strike="noStrike">
            <a:solidFill>
              <a:srgbClr val="F9DB6D"/>
            </a:solidFill>
            <a:latin typeface="Times New Roman"/>
            <a:cs typeface="Times New Roman"/>
          </a:endParaRPr>
        </a:p>
        <a:p>
          <a:pPr algn="ctr"/>
          <a:r>
            <a:rPr lang="en-US" sz="1000" b="0" i="0" u="none" strike="noStrike">
              <a:solidFill>
                <a:srgbClr val="F9DB6D"/>
              </a:solidFill>
              <a:latin typeface="Times New Roman"/>
              <a:cs typeface="Times New Roman"/>
            </a:rPr>
            <a:t>Avg. Bonus %</a:t>
          </a:r>
          <a:endParaRPr lang="en-US" sz="1100">
            <a:solidFill>
              <a:srgbClr val="F9DB6D"/>
            </a:solidFill>
          </a:endParaRPr>
        </a:p>
      </xdr:txBody>
    </xdr:sp>
    <xdr:clientData/>
  </xdr:twoCellAnchor>
  <xdr:twoCellAnchor>
    <xdr:from>
      <xdr:col>16</xdr:col>
      <xdr:colOff>9525</xdr:colOff>
      <xdr:row>24</xdr:row>
      <xdr:rowOff>161925</xdr:rowOff>
    </xdr:from>
    <xdr:to>
      <xdr:col>18</xdr:col>
      <xdr:colOff>9525</xdr:colOff>
      <xdr:row>28</xdr:row>
      <xdr:rowOff>38100</xdr:rowOff>
    </xdr:to>
    <xdr:sp macro="" textlink="Aggregates!E3">
      <xdr:nvSpPr>
        <xdr:cNvPr id="13" name="Rectangle: Rounded Corners 12">
          <a:extLst>
            <a:ext uri="{FF2B5EF4-FFF2-40B4-BE49-F238E27FC236}">
              <a16:creationId xmlns:a16="http://schemas.microsoft.com/office/drawing/2014/main" id="{CC46B9EC-D89A-4C7D-BA3B-D440A68DAD39}"/>
            </a:ext>
          </a:extLst>
        </xdr:cNvPr>
        <xdr:cNvSpPr/>
      </xdr:nvSpPr>
      <xdr:spPr>
        <a:xfrm>
          <a:off x="9763125" y="4733925"/>
          <a:ext cx="1219200" cy="638175"/>
        </a:xfrm>
        <a:prstGeom prst="roundRect">
          <a:avLst>
            <a:gd name="adj" fmla="val 8559"/>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7D397E-03FB-42D5-B260-12F1011CC15A}" type="TxLink">
            <a:rPr lang="en-US" sz="2000" b="1" i="0" u="none" strike="noStrike">
              <a:solidFill>
                <a:srgbClr val="F9DB6D"/>
              </a:solidFill>
              <a:latin typeface="Times New Roman"/>
              <a:cs typeface="Times New Roman"/>
            </a:rPr>
            <a:pPr algn="ctr"/>
            <a:t>12</a:t>
          </a:fld>
          <a:endParaRPr lang="en-US" sz="2000" b="1" i="0" u="none" strike="noStrike">
            <a:solidFill>
              <a:srgbClr val="F9DB6D"/>
            </a:solidFill>
            <a:latin typeface="Times New Roman"/>
            <a:cs typeface="Times New Roman"/>
          </a:endParaRPr>
        </a:p>
        <a:p>
          <a:pPr algn="ctr"/>
          <a:r>
            <a:rPr lang="en-US" sz="1050" b="0" i="0" u="none" strike="noStrike">
              <a:solidFill>
                <a:srgbClr val="F9DB6D"/>
              </a:solidFill>
              <a:latin typeface="Times New Roman"/>
              <a:cs typeface="Times New Roman"/>
            </a:rPr>
            <a:t>Departments</a:t>
          </a:r>
          <a:endParaRPr lang="en-US" sz="1050">
            <a:solidFill>
              <a:srgbClr val="F9DB6D"/>
            </a:solidFill>
          </a:endParaRPr>
        </a:p>
      </xdr:txBody>
    </xdr:sp>
    <xdr:clientData/>
  </xdr:twoCellAnchor>
  <xdr:twoCellAnchor>
    <xdr:from>
      <xdr:col>18</xdr:col>
      <xdr:colOff>47625</xdr:colOff>
      <xdr:row>24</xdr:row>
      <xdr:rowOff>171449</xdr:rowOff>
    </xdr:from>
    <xdr:to>
      <xdr:col>19</xdr:col>
      <xdr:colOff>419100</xdr:colOff>
      <xdr:row>28</xdr:row>
      <xdr:rowOff>47624</xdr:rowOff>
    </xdr:to>
    <xdr:sp macro="" textlink="Aggregates!H3">
      <xdr:nvSpPr>
        <xdr:cNvPr id="14" name="Rectangle: Rounded Corners 13">
          <a:extLst>
            <a:ext uri="{FF2B5EF4-FFF2-40B4-BE49-F238E27FC236}">
              <a16:creationId xmlns:a16="http://schemas.microsoft.com/office/drawing/2014/main" id="{460FC674-369C-4388-A4CC-404E7B72D228}"/>
            </a:ext>
          </a:extLst>
        </xdr:cNvPr>
        <xdr:cNvSpPr/>
      </xdr:nvSpPr>
      <xdr:spPr>
        <a:xfrm>
          <a:off x="11020425" y="4743449"/>
          <a:ext cx="981075" cy="638175"/>
        </a:xfrm>
        <a:prstGeom prst="roundRect">
          <a:avLst>
            <a:gd name="adj" fmla="val 563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0FFEFD-1055-4C58-B6BC-18B0FAEF01A5}" type="TxLink">
            <a:rPr lang="en-US" sz="2000" b="1" i="0" u="none" strike="noStrike">
              <a:solidFill>
                <a:srgbClr val="F9DB6D"/>
              </a:solidFill>
              <a:latin typeface="Times New Roman"/>
              <a:cs typeface="Times New Roman"/>
            </a:rPr>
            <a:pPr algn="ctr"/>
            <a:t>3</a:t>
          </a:fld>
          <a:endParaRPr lang="en-US" sz="2400" b="1" i="0" u="none" strike="noStrike">
            <a:solidFill>
              <a:srgbClr val="F9DB6D"/>
            </a:solidFill>
            <a:latin typeface="Times New Roman"/>
            <a:cs typeface="Times New Roman"/>
          </a:endParaRPr>
        </a:p>
        <a:p>
          <a:pPr algn="ctr"/>
          <a:r>
            <a:rPr lang="en-US" sz="1100" b="0" i="0" u="none" strike="noStrike">
              <a:solidFill>
                <a:srgbClr val="F9DB6D"/>
              </a:solidFill>
              <a:latin typeface="Times New Roman"/>
              <a:cs typeface="Times New Roman"/>
            </a:rPr>
            <a:t>Regions</a:t>
          </a:r>
          <a:endParaRPr lang="en-US" sz="1050" b="0">
            <a:solidFill>
              <a:srgbClr val="F9DB6D"/>
            </a:solidFill>
          </a:endParaRPr>
        </a:p>
      </xdr:txBody>
    </xdr:sp>
    <xdr:clientData/>
  </xdr:twoCellAnchor>
  <xdr:twoCellAnchor>
    <xdr:from>
      <xdr:col>18</xdr:col>
      <xdr:colOff>466724</xdr:colOff>
      <xdr:row>3</xdr:row>
      <xdr:rowOff>133350</xdr:rowOff>
    </xdr:from>
    <xdr:to>
      <xdr:col>19</xdr:col>
      <xdr:colOff>419099</xdr:colOff>
      <xdr:row>7</xdr:row>
      <xdr:rowOff>9525</xdr:rowOff>
    </xdr:to>
    <xdr:sp macro="" textlink="Aggregates!$C$10">
      <xdr:nvSpPr>
        <xdr:cNvPr id="15" name="Rectangle: Rounded Corners 14">
          <a:extLst>
            <a:ext uri="{FF2B5EF4-FFF2-40B4-BE49-F238E27FC236}">
              <a16:creationId xmlns:a16="http://schemas.microsoft.com/office/drawing/2014/main" id="{FEEBA208-19A4-42DA-87E5-67DF28D28F30}"/>
            </a:ext>
          </a:extLst>
        </xdr:cNvPr>
        <xdr:cNvSpPr/>
      </xdr:nvSpPr>
      <xdr:spPr>
        <a:xfrm>
          <a:off x="11439524" y="704850"/>
          <a:ext cx="561975" cy="638175"/>
        </a:xfrm>
        <a:prstGeom prst="roundRect">
          <a:avLst>
            <a:gd name="adj" fmla="val 920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8E2A978-2A97-4B7E-8EEF-1EDE61568213}" type="TxLink">
            <a:rPr lang="en-US" sz="1600" b="1" i="0" u="none" strike="noStrike">
              <a:solidFill>
                <a:srgbClr val="F9DB6D"/>
              </a:solidFill>
              <a:latin typeface="Times New Roman"/>
              <a:cs typeface="Times New Roman"/>
            </a:rPr>
            <a:pPr algn="ctr"/>
            <a:t>4.35%</a:t>
          </a:fld>
          <a:endParaRPr lang="en-US" sz="1600" b="1" i="0" u="none" strike="noStrike">
            <a:solidFill>
              <a:srgbClr val="F9DB6D"/>
            </a:solidFill>
            <a:latin typeface="Times New Roman"/>
            <a:cs typeface="Times New Roman"/>
          </a:endParaRPr>
        </a:p>
        <a:p>
          <a:pPr algn="ctr"/>
          <a:r>
            <a:rPr lang="en-US" sz="1000" b="0" i="0" u="none" strike="noStrike">
              <a:solidFill>
                <a:srgbClr val="F9DB6D"/>
              </a:solidFill>
              <a:latin typeface="Times New Roman"/>
              <a:cs typeface="Times New Roman"/>
            </a:rPr>
            <a:t>Others</a:t>
          </a:r>
          <a:endParaRPr lang="en-US" sz="1000">
            <a:solidFill>
              <a:srgbClr val="F9DB6D"/>
            </a:solidFill>
          </a:endParaRPr>
        </a:p>
      </xdr:txBody>
    </xdr:sp>
    <xdr:clientData/>
  </xdr:twoCellAnchor>
  <xdr:twoCellAnchor>
    <xdr:from>
      <xdr:col>17</xdr:col>
      <xdr:colOff>257175</xdr:colOff>
      <xdr:row>3</xdr:row>
      <xdr:rowOff>142875</xdr:rowOff>
    </xdr:from>
    <xdr:to>
      <xdr:col>18</xdr:col>
      <xdr:colOff>424099</xdr:colOff>
      <xdr:row>7</xdr:row>
      <xdr:rowOff>19050</xdr:rowOff>
    </xdr:to>
    <xdr:sp macro="" textlink="Aggregates!$C$9">
      <xdr:nvSpPr>
        <xdr:cNvPr id="16" name="Rectangle: Rounded Corners 15">
          <a:extLst>
            <a:ext uri="{FF2B5EF4-FFF2-40B4-BE49-F238E27FC236}">
              <a16:creationId xmlns:a16="http://schemas.microsoft.com/office/drawing/2014/main" id="{D1F99096-A6DD-4B8F-83CB-048679F6956A}"/>
            </a:ext>
          </a:extLst>
        </xdr:cNvPr>
        <xdr:cNvSpPr/>
      </xdr:nvSpPr>
      <xdr:spPr>
        <a:xfrm>
          <a:off x="10620375" y="714375"/>
          <a:ext cx="776524" cy="638175"/>
        </a:xfrm>
        <a:prstGeom prst="roundRect">
          <a:avLst>
            <a:gd name="adj" fmla="val 920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75A565-0FFB-4303-A0E8-4A169F167363}" type="TxLink">
            <a:rPr lang="en-US" sz="1800" b="1" i="0" u="none" strike="noStrike">
              <a:solidFill>
                <a:srgbClr val="F9DB6D"/>
              </a:solidFill>
              <a:latin typeface="Times New Roman"/>
              <a:cs typeface="Times New Roman"/>
            </a:rPr>
            <a:pPr algn="ctr"/>
            <a:t>49.20%</a:t>
          </a:fld>
          <a:endParaRPr lang="en-US" sz="1800" b="1" i="0" u="none" strike="noStrike">
            <a:solidFill>
              <a:srgbClr val="F9DB6D"/>
            </a:solidFill>
            <a:latin typeface="Times New Roman"/>
            <a:cs typeface="Times New Roman"/>
          </a:endParaRPr>
        </a:p>
        <a:p>
          <a:pPr algn="ctr"/>
          <a:r>
            <a:rPr lang="en-US" sz="1000" b="0" i="0" u="none" strike="noStrike">
              <a:solidFill>
                <a:srgbClr val="F9DB6D"/>
              </a:solidFill>
              <a:latin typeface="Times New Roman"/>
              <a:cs typeface="Times New Roman"/>
            </a:rPr>
            <a:t>Males</a:t>
          </a:r>
          <a:endParaRPr lang="en-US" sz="1000">
            <a:solidFill>
              <a:srgbClr val="F9DB6D"/>
            </a:solidFill>
          </a:endParaRPr>
        </a:p>
      </xdr:txBody>
    </xdr:sp>
    <xdr:clientData/>
  </xdr:twoCellAnchor>
  <xdr:twoCellAnchor>
    <xdr:from>
      <xdr:col>16</xdr:col>
      <xdr:colOff>85724</xdr:colOff>
      <xdr:row>3</xdr:row>
      <xdr:rowOff>152400</xdr:rowOff>
    </xdr:from>
    <xdr:to>
      <xdr:col>17</xdr:col>
      <xdr:colOff>219073</xdr:colOff>
      <xdr:row>7</xdr:row>
      <xdr:rowOff>28575</xdr:rowOff>
    </xdr:to>
    <xdr:sp macro="" textlink="Aggregates!$C$8">
      <xdr:nvSpPr>
        <xdr:cNvPr id="17" name="Rectangle: Rounded Corners 16">
          <a:extLst>
            <a:ext uri="{FF2B5EF4-FFF2-40B4-BE49-F238E27FC236}">
              <a16:creationId xmlns:a16="http://schemas.microsoft.com/office/drawing/2014/main" id="{2EE82C94-9CD7-4179-BAA2-32BEB4FC559E}"/>
            </a:ext>
          </a:extLst>
        </xdr:cNvPr>
        <xdr:cNvSpPr/>
      </xdr:nvSpPr>
      <xdr:spPr>
        <a:xfrm>
          <a:off x="9839324" y="723900"/>
          <a:ext cx="742949" cy="638175"/>
        </a:xfrm>
        <a:prstGeom prst="roundRect">
          <a:avLst>
            <a:gd name="adj" fmla="val 920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DF03C1-878B-4825-830C-A58CD1C8A5F6}" type="TxLink">
            <a:rPr lang="en-US" sz="1800" b="1" i="0" u="none" strike="noStrike">
              <a:solidFill>
                <a:srgbClr val="F9DB6D"/>
              </a:solidFill>
              <a:latin typeface="Times New Roman"/>
              <a:cs typeface="Times New Roman"/>
            </a:rPr>
            <a:pPr algn="ctr"/>
            <a:t>46.45%</a:t>
          </a:fld>
          <a:endParaRPr lang="en-US" sz="1800" b="1" i="0" u="none" strike="noStrike">
            <a:solidFill>
              <a:srgbClr val="F9DB6D"/>
            </a:solidFill>
            <a:latin typeface="Times New Roman"/>
            <a:cs typeface="Times New Roman"/>
          </a:endParaRPr>
        </a:p>
        <a:p>
          <a:pPr algn="ctr"/>
          <a:r>
            <a:rPr lang="en-US" sz="1100" b="0" i="0" u="none" strike="noStrike">
              <a:solidFill>
                <a:srgbClr val="F9DB6D"/>
              </a:solidFill>
              <a:latin typeface="Times New Roman"/>
              <a:cs typeface="Times New Roman"/>
            </a:rPr>
            <a:t>Females</a:t>
          </a:r>
          <a:endParaRPr lang="en-US" sz="1100">
            <a:solidFill>
              <a:srgbClr val="F9DB6D"/>
            </a:solidFill>
          </a:endParaRPr>
        </a:p>
      </xdr:txBody>
    </xdr:sp>
    <xdr:clientData/>
  </xdr:twoCellAnchor>
  <xdr:twoCellAnchor editAs="oneCell">
    <xdr:from>
      <xdr:col>13</xdr:col>
      <xdr:colOff>28575</xdr:colOff>
      <xdr:row>0</xdr:row>
      <xdr:rowOff>0</xdr:rowOff>
    </xdr:from>
    <xdr:to>
      <xdr:col>15</xdr:col>
      <xdr:colOff>571500</xdr:colOff>
      <xdr:row>4</xdr:row>
      <xdr:rowOff>180975</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95731BF0-B803-405B-9A0A-C262E24112C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953375" y="0"/>
              <a:ext cx="17621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16</xdr:row>
      <xdr:rowOff>76200</xdr:rowOff>
    </xdr:from>
    <xdr:to>
      <xdr:col>5</xdr:col>
      <xdr:colOff>266700</xdr:colOff>
      <xdr:row>28</xdr:row>
      <xdr:rowOff>47625</xdr:rowOff>
    </xdr:to>
    <xdr:grpSp>
      <xdr:nvGrpSpPr>
        <xdr:cNvPr id="19" name="Group 18">
          <a:extLst>
            <a:ext uri="{FF2B5EF4-FFF2-40B4-BE49-F238E27FC236}">
              <a16:creationId xmlns:a16="http://schemas.microsoft.com/office/drawing/2014/main" id="{515305A1-7132-4581-AD84-6265BCD25C81}"/>
            </a:ext>
          </a:extLst>
        </xdr:cNvPr>
        <xdr:cNvGrpSpPr/>
      </xdr:nvGrpSpPr>
      <xdr:grpSpPr>
        <a:xfrm>
          <a:off x="123825" y="3124200"/>
          <a:ext cx="3190875" cy="2257425"/>
          <a:chOff x="95249" y="828675"/>
          <a:chExt cx="2476501" cy="2257425"/>
        </a:xfrm>
      </xdr:grpSpPr>
      <xdr:sp macro="" textlink="">
        <xdr:nvSpPr>
          <xdr:cNvPr id="20" name="Rectangle: Rounded Corners 19">
            <a:extLst>
              <a:ext uri="{FF2B5EF4-FFF2-40B4-BE49-F238E27FC236}">
                <a16:creationId xmlns:a16="http://schemas.microsoft.com/office/drawing/2014/main" id="{17DF33BF-6745-275B-1DFB-58B3C29097F0}"/>
              </a:ext>
            </a:extLst>
          </xdr:cNvPr>
          <xdr:cNvSpPr/>
        </xdr:nvSpPr>
        <xdr:spPr>
          <a:xfrm>
            <a:off x="95249" y="828675"/>
            <a:ext cx="2476501" cy="2257425"/>
          </a:xfrm>
          <a:prstGeom prst="roundRect">
            <a:avLst>
              <a:gd name="adj" fmla="val 920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1" name="Chart 20">
            <a:extLst>
              <a:ext uri="{FF2B5EF4-FFF2-40B4-BE49-F238E27FC236}">
                <a16:creationId xmlns:a16="http://schemas.microsoft.com/office/drawing/2014/main" id="{7B0DAC26-5486-0F60-85C5-89A3153BCD83}"/>
              </a:ext>
            </a:extLst>
          </xdr:cNvPr>
          <xdr:cNvGraphicFramePr>
            <a:graphicFrameLocks/>
          </xdr:cNvGraphicFramePr>
        </xdr:nvGraphicFramePr>
        <xdr:xfrm>
          <a:off x="95249" y="828675"/>
          <a:ext cx="2400301" cy="22288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371475</xdr:colOff>
      <xdr:row>4</xdr:row>
      <xdr:rowOff>0</xdr:rowOff>
    </xdr:from>
    <xdr:to>
      <xdr:col>12</xdr:col>
      <xdr:colOff>542926</xdr:colOff>
      <xdr:row>16</xdr:row>
      <xdr:rowOff>0</xdr:rowOff>
    </xdr:to>
    <xdr:grpSp>
      <xdr:nvGrpSpPr>
        <xdr:cNvPr id="22" name="Group 21">
          <a:extLst>
            <a:ext uri="{FF2B5EF4-FFF2-40B4-BE49-F238E27FC236}">
              <a16:creationId xmlns:a16="http://schemas.microsoft.com/office/drawing/2014/main" id="{293C627B-B597-4A0F-8930-94D024917E86}"/>
            </a:ext>
          </a:extLst>
        </xdr:cNvPr>
        <xdr:cNvGrpSpPr/>
      </xdr:nvGrpSpPr>
      <xdr:grpSpPr>
        <a:xfrm>
          <a:off x="4029075" y="762000"/>
          <a:ext cx="3829051" cy="2286000"/>
          <a:chOff x="3476626" y="3095625"/>
          <a:chExt cx="3009900" cy="2286000"/>
        </a:xfrm>
        <a:solidFill>
          <a:srgbClr val="877666"/>
        </a:solidFill>
      </xdr:grpSpPr>
      <xdr:sp macro="" textlink="">
        <xdr:nvSpPr>
          <xdr:cNvPr id="23" name="Rectangle: Rounded Corners 22">
            <a:extLst>
              <a:ext uri="{FF2B5EF4-FFF2-40B4-BE49-F238E27FC236}">
                <a16:creationId xmlns:a16="http://schemas.microsoft.com/office/drawing/2014/main" id="{7871435F-F2B0-2DDC-3D25-818B3A6890DA}"/>
              </a:ext>
            </a:extLst>
          </xdr:cNvPr>
          <xdr:cNvSpPr/>
        </xdr:nvSpPr>
        <xdr:spPr>
          <a:xfrm>
            <a:off x="3476626" y="3124200"/>
            <a:ext cx="3009900" cy="2257425"/>
          </a:xfrm>
          <a:prstGeom prst="roundRect">
            <a:avLst>
              <a:gd name="adj" fmla="val 9204"/>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877666"/>
              </a:solidFill>
              <a:latin typeface="Times New Roman"/>
              <a:cs typeface="Times New Roman"/>
            </a:endParaRPr>
          </a:p>
        </xdr:txBody>
      </xdr:sp>
      <xdr:graphicFrame macro="">
        <xdr:nvGraphicFramePr>
          <xdr:cNvPr id="24" name="Chart 23">
            <a:extLst>
              <a:ext uri="{FF2B5EF4-FFF2-40B4-BE49-F238E27FC236}">
                <a16:creationId xmlns:a16="http://schemas.microsoft.com/office/drawing/2014/main" id="{997DBE50-3C08-800F-6BC9-0EA112EF77E5}"/>
              </a:ext>
            </a:extLst>
          </xdr:cNvPr>
          <xdr:cNvGraphicFramePr>
            <a:graphicFrameLocks/>
          </xdr:cNvGraphicFramePr>
        </xdr:nvGraphicFramePr>
        <xdr:xfrm>
          <a:off x="3505200" y="3095625"/>
          <a:ext cx="2952750" cy="22669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16</xdr:col>
      <xdr:colOff>47624</xdr:colOff>
      <xdr:row>18</xdr:row>
      <xdr:rowOff>19050</xdr:rowOff>
    </xdr:from>
    <xdr:to>
      <xdr:col>19</xdr:col>
      <xdr:colOff>409575</xdr:colOff>
      <xdr:row>21</xdr:row>
      <xdr:rowOff>85725</xdr:rowOff>
    </xdr:to>
    <xdr:sp macro="" textlink="Aggregates!F9">
      <xdr:nvSpPr>
        <xdr:cNvPr id="25" name="Rectangle: Rounded Corners 24">
          <a:extLst>
            <a:ext uri="{FF2B5EF4-FFF2-40B4-BE49-F238E27FC236}">
              <a16:creationId xmlns:a16="http://schemas.microsoft.com/office/drawing/2014/main" id="{0CCA8EED-43E9-4EF7-B159-232F0D87F9FC}"/>
            </a:ext>
          </a:extLst>
        </xdr:cNvPr>
        <xdr:cNvSpPr/>
      </xdr:nvSpPr>
      <xdr:spPr>
        <a:xfrm>
          <a:off x="9801224" y="3448050"/>
          <a:ext cx="2190751" cy="638175"/>
        </a:xfrm>
        <a:prstGeom prst="roundRect">
          <a:avLst>
            <a:gd name="adj" fmla="val 10318"/>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EC888E-09B4-469F-83C8-BEE7A1DF8B6D}" type="TxLink">
            <a:rPr lang="en-US" sz="1600" b="1" i="0" u="none" strike="noStrike">
              <a:solidFill>
                <a:srgbClr val="F9DB6D"/>
              </a:solidFill>
              <a:latin typeface="Times New Roman"/>
              <a:cs typeface="Times New Roman"/>
            </a:rPr>
            <a:pPr algn="ctr"/>
            <a:t>₦ 73,831.51</a:t>
          </a:fld>
          <a:endParaRPr lang="en-US" sz="1100" b="1" i="0" u="none" strike="noStrike">
            <a:solidFill>
              <a:srgbClr val="F9DB6D"/>
            </a:solidFill>
            <a:latin typeface="Times New Roman"/>
            <a:cs typeface="Times New Roman"/>
          </a:endParaRPr>
        </a:p>
        <a:p>
          <a:pPr algn="ctr"/>
          <a:r>
            <a:rPr lang="en-US" sz="1100" b="0" i="0" u="none" strike="noStrike">
              <a:solidFill>
                <a:srgbClr val="F9DB6D"/>
              </a:solidFill>
              <a:latin typeface="Times New Roman"/>
              <a:cs typeface="Times New Roman"/>
            </a:rPr>
            <a:t>Avg Salary</a:t>
          </a:r>
          <a:endParaRPr lang="en-US" sz="1100">
            <a:solidFill>
              <a:srgbClr val="F9DB6D"/>
            </a:solidFill>
          </a:endParaRPr>
        </a:p>
      </xdr:txBody>
    </xdr:sp>
    <xdr:clientData/>
  </xdr:twoCellAnchor>
  <xdr:twoCellAnchor>
    <xdr:from>
      <xdr:col>16</xdr:col>
      <xdr:colOff>47626</xdr:colOff>
      <xdr:row>21</xdr:row>
      <xdr:rowOff>114300</xdr:rowOff>
    </xdr:from>
    <xdr:to>
      <xdr:col>17</xdr:col>
      <xdr:colOff>523875</xdr:colOff>
      <xdr:row>24</xdr:row>
      <xdr:rowOff>123825</xdr:rowOff>
    </xdr:to>
    <xdr:sp macro="" textlink="Aggregates!F15">
      <xdr:nvSpPr>
        <xdr:cNvPr id="26" name="Rectangle: Rounded Corners 25">
          <a:extLst>
            <a:ext uri="{FF2B5EF4-FFF2-40B4-BE49-F238E27FC236}">
              <a16:creationId xmlns:a16="http://schemas.microsoft.com/office/drawing/2014/main" id="{898261C0-77FC-447E-957C-9DFD57D960D2}"/>
            </a:ext>
          </a:extLst>
        </xdr:cNvPr>
        <xdr:cNvSpPr/>
      </xdr:nvSpPr>
      <xdr:spPr>
        <a:xfrm>
          <a:off x="9801226" y="4114800"/>
          <a:ext cx="1085849" cy="581025"/>
        </a:xfrm>
        <a:prstGeom prst="roundRect">
          <a:avLst>
            <a:gd name="adj" fmla="val 826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A59FAE-B588-44C0-9DA3-CBBEC82A70FE}" type="TxLink">
            <a:rPr lang="en-US" sz="1400" b="1" i="0" u="none" strike="noStrike">
              <a:solidFill>
                <a:srgbClr val="F9DB6D"/>
              </a:solidFill>
              <a:latin typeface="Times New Roman"/>
              <a:cs typeface="Times New Roman"/>
            </a:rPr>
            <a:pPr algn="ctr"/>
            <a:t>₦ 2,324.03</a:t>
          </a:fld>
          <a:endParaRPr lang="en-US" sz="1400" b="1" i="0" u="none" strike="noStrike">
            <a:solidFill>
              <a:srgbClr val="F9DB6D"/>
            </a:solidFill>
            <a:latin typeface="Times New Roman"/>
            <a:cs typeface="Times New Roman"/>
          </a:endParaRPr>
        </a:p>
        <a:p>
          <a:pPr algn="ctr"/>
          <a:r>
            <a:rPr lang="en-US" sz="1050" b="0" i="0" u="none" strike="noStrike">
              <a:solidFill>
                <a:srgbClr val="F9DB6D"/>
              </a:solidFill>
              <a:latin typeface="Times New Roman"/>
              <a:cs typeface="Times New Roman"/>
            </a:rPr>
            <a:t>Avg.</a:t>
          </a:r>
          <a:r>
            <a:rPr lang="en-US" sz="1050" b="0" i="0" u="none" strike="noStrike" baseline="0">
              <a:solidFill>
                <a:srgbClr val="F9DB6D"/>
              </a:solidFill>
              <a:latin typeface="Times New Roman"/>
              <a:cs typeface="Times New Roman"/>
            </a:rPr>
            <a:t> Bonus</a:t>
          </a:r>
          <a:endParaRPr lang="en-US" sz="1100">
            <a:solidFill>
              <a:srgbClr val="F9DB6D"/>
            </a:solidFill>
          </a:endParaRPr>
        </a:p>
      </xdr:txBody>
    </xdr:sp>
    <xdr:clientData/>
  </xdr:twoCellAnchor>
  <xdr:twoCellAnchor>
    <xdr:from>
      <xdr:col>0</xdr:col>
      <xdr:colOff>47624</xdr:colOff>
      <xdr:row>4</xdr:row>
      <xdr:rowOff>28575</xdr:rowOff>
    </xdr:from>
    <xdr:to>
      <xdr:col>6</xdr:col>
      <xdr:colOff>276225</xdr:colOff>
      <xdr:row>16</xdr:row>
      <xdr:rowOff>38100</xdr:rowOff>
    </xdr:to>
    <xdr:grpSp>
      <xdr:nvGrpSpPr>
        <xdr:cNvPr id="27" name="Group 26">
          <a:extLst>
            <a:ext uri="{FF2B5EF4-FFF2-40B4-BE49-F238E27FC236}">
              <a16:creationId xmlns:a16="http://schemas.microsoft.com/office/drawing/2014/main" id="{9D5C51D8-B752-40D5-8BF1-93132E39D5E2}"/>
            </a:ext>
          </a:extLst>
        </xdr:cNvPr>
        <xdr:cNvGrpSpPr/>
      </xdr:nvGrpSpPr>
      <xdr:grpSpPr>
        <a:xfrm>
          <a:off x="47624" y="790575"/>
          <a:ext cx="3886201" cy="2295525"/>
          <a:chOff x="47624" y="3124200"/>
          <a:chExt cx="3362326" cy="2295525"/>
        </a:xfrm>
        <a:solidFill>
          <a:srgbClr val="877666"/>
        </a:solidFill>
      </xdr:grpSpPr>
      <xdr:sp macro="" textlink="">
        <xdr:nvSpPr>
          <xdr:cNvPr id="28" name="Rectangle: Rounded Corners 27">
            <a:extLst>
              <a:ext uri="{FF2B5EF4-FFF2-40B4-BE49-F238E27FC236}">
                <a16:creationId xmlns:a16="http://schemas.microsoft.com/office/drawing/2014/main" id="{A011A744-B538-A2F8-77FC-EBEC9E3DAB67}"/>
              </a:ext>
            </a:extLst>
          </xdr:cNvPr>
          <xdr:cNvSpPr/>
        </xdr:nvSpPr>
        <xdr:spPr>
          <a:xfrm>
            <a:off x="47624" y="3124200"/>
            <a:ext cx="3362325" cy="2257425"/>
          </a:xfrm>
          <a:prstGeom prst="roundRect">
            <a:avLst>
              <a:gd name="adj" fmla="val 9204"/>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68FA380B-426D-4197-4F7B-97CE593CC8E8}"/>
              </a:ext>
            </a:extLst>
          </xdr:cNvPr>
          <xdr:cNvGraphicFramePr>
            <a:graphicFrameLocks/>
          </xdr:cNvGraphicFramePr>
        </xdr:nvGraphicFramePr>
        <xdr:xfrm>
          <a:off x="47625" y="3124200"/>
          <a:ext cx="3362325" cy="22955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381000</xdr:colOff>
      <xdr:row>16</xdr:row>
      <xdr:rowOff>85725</xdr:rowOff>
    </xdr:from>
    <xdr:to>
      <xdr:col>10</xdr:col>
      <xdr:colOff>323850</xdr:colOff>
      <xdr:row>28</xdr:row>
      <xdr:rowOff>47625</xdr:rowOff>
    </xdr:to>
    <xdr:grpSp>
      <xdr:nvGrpSpPr>
        <xdr:cNvPr id="30" name="Group 29">
          <a:extLst>
            <a:ext uri="{FF2B5EF4-FFF2-40B4-BE49-F238E27FC236}">
              <a16:creationId xmlns:a16="http://schemas.microsoft.com/office/drawing/2014/main" id="{EDC0B316-3E64-4CBC-B18B-7A7D4A3C7D74}"/>
            </a:ext>
          </a:extLst>
        </xdr:cNvPr>
        <xdr:cNvGrpSpPr/>
      </xdr:nvGrpSpPr>
      <xdr:grpSpPr>
        <a:xfrm>
          <a:off x="3429000" y="3133725"/>
          <a:ext cx="2990850" cy="2247900"/>
          <a:chOff x="5343524" y="819150"/>
          <a:chExt cx="2571751" cy="2276475"/>
        </a:xfrm>
      </xdr:grpSpPr>
      <xdr:sp macro="" textlink="">
        <xdr:nvSpPr>
          <xdr:cNvPr id="31" name="Rectangle: Rounded Corners 30">
            <a:extLst>
              <a:ext uri="{FF2B5EF4-FFF2-40B4-BE49-F238E27FC236}">
                <a16:creationId xmlns:a16="http://schemas.microsoft.com/office/drawing/2014/main" id="{91B0A9F2-7206-AA01-11AA-4182CE04FA7F}"/>
              </a:ext>
            </a:extLst>
          </xdr:cNvPr>
          <xdr:cNvSpPr/>
        </xdr:nvSpPr>
        <xdr:spPr>
          <a:xfrm>
            <a:off x="5343524" y="819150"/>
            <a:ext cx="2571751" cy="2276475"/>
          </a:xfrm>
          <a:prstGeom prst="roundRect">
            <a:avLst>
              <a:gd name="adj" fmla="val 9204"/>
            </a:avLst>
          </a:prstGeom>
          <a:solidFill>
            <a:srgbClr val="8776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993C0E7E-387F-0840-A045-5FC13FB1C809}"/>
              </a:ext>
            </a:extLst>
          </xdr:cNvPr>
          <xdr:cNvGraphicFramePr>
            <a:graphicFrameLocks/>
          </xdr:cNvGraphicFramePr>
        </xdr:nvGraphicFramePr>
        <xdr:xfrm>
          <a:off x="5343524" y="819150"/>
          <a:ext cx="2533651" cy="22193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133351</xdr:colOff>
      <xdr:row>0</xdr:row>
      <xdr:rowOff>95250</xdr:rowOff>
    </xdr:from>
    <xdr:to>
      <xdr:col>1</xdr:col>
      <xdr:colOff>209550</xdr:colOff>
      <xdr:row>4</xdr:row>
      <xdr:rowOff>0</xdr:rowOff>
    </xdr:to>
    <xdr:pic>
      <xdr:nvPicPr>
        <xdr:cNvPr id="33" name="Picture 32">
          <a:extLst>
            <a:ext uri="{FF2B5EF4-FFF2-40B4-BE49-F238E27FC236}">
              <a16:creationId xmlns:a16="http://schemas.microsoft.com/office/drawing/2014/main" id="{490EEEF7-2F62-402A-BB4D-2C4099118974}"/>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aturation sat="200000"/>
                  </a14:imgEffect>
                </a14:imgLayer>
              </a14:imgProps>
            </a:ext>
            <a:ext uri="{28A0092B-C50C-407E-A947-70E740481C1C}">
              <a14:useLocalDpi xmlns:a14="http://schemas.microsoft.com/office/drawing/2010/main" val="0"/>
            </a:ext>
          </a:extLst>
        </a:blip>
        <a:stretch>
          <a:fillRect/>
        </a:stretch>
      </xdr:blipFill>
      <xdr:spPr>
        <a:xfrm>
          <a:off x="133351" y="95250"/>
          <a:ext cx="685799" cy="666750"/>
        </a:xfrm>
        <a:prstGeom prst="rect">
          <a:avLst/>
        </a:prstGeom>
      </xdr:spPr>
    </xdr:pic>
    <xdr:clientData/>
  </xdr:twoCellAnchor>
  <xdr:twoCellAnchor editAs="oneCell">
    <xdr:from>
      <xdr:col>13</xdr:col>
      <xdr:colOff>28575</xdr:colOff>
      <xdr:row>4</xdr:row>
      <xdr:rowOff>66675</xdr:rowOff>
    </xdr:from>
    <xdr:to>
      <xdr:col>15</xdr:col>
      <xdr:colOff>561975</xdr:colOff>
      <xdr:row>22</xdr:row>
      <xdr:rowOff>114300</xdr:rowOff>
    </xdr:to>
    <mc:AlternateContent xmlns:mc="http://schemas.openxmlformats.org/markup-compatibility/2006" xmlns:a14="http://schemas.microsoft.com/office/drawing/2010/main">
      <mc:Choice Requires="a14">
        <xdr:graphicFrame macro="">
          <xdr:nvGraphicFramePr>
            <xdr:cNvPr id="34" name="Department 2">
              <a:extLst>
                <a:ext uri="{FF2B5EF4-FFF2-40B4-BE49-F238E27FC236}">
                  <a16:creationId xmlns:a16="http://schemas.microsoft.com/office/drawing/2014/main" id="{9F6605AE-0BF1-4233-A288-710B2AB27FF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953375" y="828675"/>
              <a:ext cx="1752600" cy="3476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0</xdr:row>
      <xdr:rowOff>57150</xdr:rowOff>
    </xdr:from>
    <xdr:to>
      <xdr:col>1</xdr:col>
      <xdr:colOff>457200</xdr:colOff>
      <xdr:row>4</xdr:row>
      <xdr:rowOff>9525</xdr:rowOff>
    </xdr:to>
    <xdr:sp macro="" textlink="">
      <xdr:nvSpPr>
        <xdr:cNvPr id="2" name="Rectangle: Rounded Corners 1">
          <a:extLst>
            <a:ext uri="{FF2B5EF4-FFF2-40B4-BE49-F238E27FC236}">
              <a16:creationId xmlns:a16="http://schemas.microsoft.com/office/drawing/2014/main" id="{5C6DE1AF-CD1F-41D0-A3AA-CC79753ED477}"/>
            </a:ext>
          </a:extLst>
        </xdr:cNvPr>
        <xdr:cNvSpPr/>
      </xdr:nvSpPr>
      <xdr:spPr>
        <a:xfrm>
          <a:off x="76200" y="57150"/>
          <a:ext cx="990600" cy="714375"/>
        </a:xfrm>
        <a:prstGeom prst="roundRect">
          <a:avLst>
            <a:gd name="adj" fmla="val 621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533400</xdr:colOff>
      <xdr:row>0</xdr:row>
      <xdr:rowOff>76200</xdr:rowOff>
    </xdr:from>
    <xdr:to>
      <xdr:col>15</xdr:col>
      <xdr:colOff>361950</xdr:colOff>
      <xdr:row>3</xdr:row>
      <xdr:rowOff>180975</xdr:rowOff>
    </xdr:to>
    <xdr:sp macro="" textlink="">
      <xdr:nvSpPr>
        <xdr:cNvPr id="3" name="TextBox 2">
          <a:extLst>
            <a:ext uri="{FF2B5EF4-FFF2-40B4-BE49-F238E27FC236}">
              <a16:creationId xmlns:a16="http://schemas.microsoft.com/office/drawing/2014/main" id="{ED0196AB-F592-436D-81DB-EB6F406B39AF}"/>
            </a:ext>
          </a:extLst>
        </xdr:cNvPr>
        <xdr:cNvSpPr txBox="1"/>
      </xdr:nvSpPr>
      <xdr:spPr>
        <a:xfrm>
          <a:off x="1143000" y="76200"/>
          <a:ext cx="8362950" cy="6762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cap="none" spc="0">
              <a:ln w="0"/>
              <a:solidFill>
                <a:schemeClr val="accent5"/>
              </a:solidFill>
              <a:effectLst>
                <a:outerShdw blurRad="63500" sx="102000" sy="102000" algn="ctr" rotWithShape="0">
                  <a:prstClr val="black">
                    <a:alpha val="40000"/>
                  </a:prstClr>
                </a:outerShdw>
              </a:effectLst>
              <a:latin typeface="Broadway" panose="04040905080B02020502" pitchFamily="82" charset="0"/>
            </a:rPr>
            <a:t>PALMORIA GROUP</a:t>
          </a:r>
          <a:r>
            <a:rPr lang="en-US" sz="2800" b="1" cap="none" spc="0" baseline="0">
              <a:ln w="0"/>
              <a:solidFill>
                <a:schemeClr val="accent5"/>
              </a:solidFill>
              <a:effectLst>
                <a:outerShdw blurRad="63500" sx="102000" sy="102000" algn="ctr" rotWithShape="0">
                  <a:prstClr val="black">
                    <a:alpha val="40000"/>
                  </a:prstClr>
                </a:outerShdw>
              </a:effectLst>
              <a:latin typeface="Broadway" panose="04040905080B02020502" pitchFamily="82" charset="0"/>
            </a:rPr>
            <a:t> EMPLOYEE ANALYSIS</a:t>
          </a:r>
          <a:endParaRPr lang="en-US" sz="2800" b="1" cap="none" spc="0">
            <a:ln w="0"/>
            <a:solidFill>
              <a:schemeClr val="accent5"/>
            </a:solidFill>
            <a:effectLst>
              <a:outerShdw blurRad="63500" sx="102000" sy="102000" algn="ctr" rotWithShape="0">
                <a:prstClr val="black">
                  <a:alpha val="40000"/>
                </a:prstClr>
              </a:outerShdw>
            </a:effectLst>
            <a:latin typeface="Broadway" panose="04040905080B02020502" pitchFamily="82" charset="0"/>
          </a:endParaRPr>
        </a:p>
      </xdr:txBody>
    </xdr:sp>
    <xdr:clientData/>
  </xdr:twoCellAnchor>
  <xdr:twoCellAnchor editAs="oneCell">
    <xdr:from>
      <xdr:col>0</xdr:col>
      <xdr:colOff>209550</xdr:colOff>
      <xdr:row>0</xdr:row>
      <xdr:rowOff>66676</xdr:rowOff>
    </xdr:from>
    <xdr:to>
      <xdr:col>1</xdr:col>
      <xdr:colOff>314325</xdr:colOff>
      <xdr:row>3</xdr:row>
      <xdr:rowOff>180976</xdr:rowOff>
    </xdr:to>
    <xdr:pic>
      <xdr:nvPicPr>
        <xdr:cNvPr id="4" name="Picture 3">
          <a:extLst>
            <a:ext uri="{FF2B5EF4-FFF2-40B4-BE49-F238E27FC236}">
              <a16:creationId xmlns:a16="http://schemas.microsoft.com/office/drawing/2014/main" id="{0D24CBF7-B80D-414C-98AB-7EEF41B5E1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66676"/>
          <a:ext cx="714375" cy="685800"/>
        </a:xfrm>
        <a:prstGeom prst="rect">
          <a:avLst/>
        </a:prstGeom>
      </xdr:spPr>
    </xdr:pic>
    <xdr:clientData/>
  </xdr:twoCellAnchor>
  <xdr:twoCellAnchor>
    <xdr:from>
      <xdr:col>19</xdr:col>
      <xdr:colOff>552451</xdr:colOff>
      <xdr:row>3</xdr:row>
      <xdr:rowOff>161925</xdr:rowOff>
    </xdr:from>
    <xdr:to>
      <xdr:col>24</xdr:col>
      <xdr:colOff>114301</xdr:colOff>
      <xdr:row>28</xdr:row>
      <xdr:rowOff>19050</xdr:rowOff>
    </xdr:to>
    <xdr:sp macro="" textlink="">
      <xdr:nvSpPr>
        <xdr:cNvPr id="5" name="Rectangle: Rounded Corners 4">
          <a:extLst>
            <a:ext uri="{FF2B5EF4-FFF2-40B4-BE49-F238E27FC236}">
              <a16:creationId xmlns:a16="http://schemas.microsoft.com/office/drawing/2014/main" id="{65463447-7A56-41C7-9A59-B41146E91C7E}"/>
            </a:ext>
          </a:extLst>
        </xdr:cNvPr>
        <xdr:cNvSpPr/>
      </xdr:nvSpPr>
      <xdr:spPr>
        <a:xfrm>
          <a:off x="12134851" y="733425"/>
          <a:ext cx="2609850" cy="4619625"/>
        </a:xfrm>
        <a:prstGeom prst="roundRect">
          <a:avLst>
            <a:gd name="adj" fmla="val 24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9525</xdr:colOff>
      <xdr:row>4</xdr:row>
      <xdr:rowOff>66675</xdr:rowOff>
    </xdr:from>
    <xdr:to>
      <xdr:col>24</xdr:col>
      <xdr:colOff>85725</xdr:colOff>
      <xdr:row>8</xdr:row>
      <xdr:rowOff>104775</xdr:rowOff>
    </xdr:to>
    <xdr:sp macro="" textlink="Aggregates!B3">
      <xdr:nvSpPr>
        <xdr:cNvPr id="6" name="TextBox 5">
          <a:extLst>
            <a:ext uri="{FF2B5EF4-FFF2-40B4-BE49-F238E27FC236}">
              <a16:creationId xmlns:a16="http://schemas.microsoft.com/office/drawing/2014/main" id="{8E4A4DC9-2041-4661-A3AB-E7DC262CBA85}"/>
            </a:ext>
          </a:extLst>
        </xdr:cNvPr>
        <xdr:cNvSpPr txBox="1"/>
      </xdr:nvSpPr>
      <xdr:spPr>
        <a:xfrm>
          <a:off x="12201525" y="828675"/>
          <a:ext cx="2514600" cy="800100"/>
        </a:xfrm>
        <a:prstGeom prst="roundRect">
          <a:avLst>
            <a:gd name="adj" fmla="val 1078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0605D-2146-4CAB-BAC0-BF7A0A9BA96D}" type="TxLink">
            <a:rPr lang="en-US" sz="2800" b="1" i="0" u="none" strike="noStrike">
              <a:solidFill>
                <a:schemeClr val="accent5"/>
              </a:solidFill>
              <a:latin typeface="Times New Roman"/>
              <a:cs typeface="Times New Roman"/>
            </a:rPr>
            <a:pPr algn="ctr"/>
            <a:t>874</a:t>
          </a:fld>
          <a:endParaRPr lang="en-US" sz="2800" b="1" i="0" u="none" strike="noStrike">
            <a:solidFill>
              <a:schemeClr val="accent5"/>
            </a:solidFill>
            <a:latin typeface="Times New Roman"/>
            <a:cs typeface="Times New Roman"/>
          </a:endParaRPr>
        </a:p>
        <a:p>
          <a:pPr algn="ctr"/>
          <a:r>
            <a:rPr lang="en-US" sz="1200" b="0" i="0" u="none" strike="noStrike">
              <a:solidFill>
                <a:schemeClr val="accent5"/>
              </a:solidFill>
              <a:latin typeface="Times New Roman"/>
              <a:cs typeface="Times New Roman"/>
            </a:rPr>
            <a:t>Total employees</a:t>
          </a:r>
          <a:endParaRPr lang="en-US" sz="2000">
            <a:solidFill>
              <a:schemeClr val="accent5"/>
            </a:solidFill>
          </a:endParaRPr>
        </a:p>
      </xdr:txBody>
    </xdr:sp>
    <xdr:clientData/>
  </xdr:twoCellAnchor>
  <xdr:twoCellAnchor>
    <xdr:from>
      <xdr:col>20</xdr:col>
      <xdr:colOff>1</xdr:colOff>
      <xdr:row>18</xdr:row>
      <xdr:rowOff>180975</xdr:rowOff>
    </xdr:from>
    <xdr:to>
      <xdr:col>22</xdr:col>
      <xdr:colOff>200025</xdr:colOff>
      <xdr:row>23</xdr:row>
      <xdr:rowOff>66675</xdr:rowOff>
    </xdr:to>
    <xdr:sp macro="" textlink="Aggregates!N3">
      <xdr:nvSpPr>
        <xdr:cNvPr id="7" name="Rectangle: Rounded Corners 6">
          <a:extLst>
            <a:ext uri="{FF2B5EF4-FFF2-40B4-BE49-F238E27FC236}">
              <a16:creationId xmlns:a16="http://schemas.microsoft.com/office/drawing/2014/main" id="{1B677934-D6B3-4737-87C2-1CA0ACC14054}"/>
            </a:ext>
          </a:extLst>
        </xdr:cNvPr>
        <xdr:cNvSpPr/>
      </xdr:nvSpPr>
      <xdr:spPr>
        <a:xfrm>
          <a:off x="12192001" y="3609975"/>
          <a:ext cx="1419224" cy="838200"/>
        </a:xfrm>
        <a:prstGeom prst="roundRect">
          <a:avLst>
            <a:gd name="adj" fmla="val 991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ED87F1-97BD-489E-9639-BC8820890D9E}" type="TxLink">
            <a:rPr lang="en-US" sz="1500" b="1" i="0" u="none" strike="noStrike">
              <a:solidFill>
                <a:schemeClr val="accent5"/>
              </a:solidFill>
              <a:latin typeface="Times New Roman"/>
              <a:cs typeface="Times New Roman"/>
            </a:rPr>
            <a:pPr algn="ctr"/>
            <a:t>₦ 2,031,197.97</a:t>
          </a:fld>
          <a:endParaRPr lang="en-US" sz="15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Total Bonus</a:t>
          </a:r>
          <a:endParaRPr lang="en-US" sz="1100">
            <a:solidFill>
              <a:schemeClr val="accent5"/>
            </a:solidFill>
          </a:endParaRPr>
        </a:p>
      </xdr:txBody>
    </xdr:sp>
    <xdr:clientData/>
  </xdr:twoCellAnchor>
  <xdr:twoCellAnchor>
    <xdr:from>
      <xdr:col>20</xdr:col>
      <xdr:colOff>9525</xdr:colOff>
      <xdr:row>9</xdr:row>
      <xdr:rowOff>19050</xdr:rowOff>
    </xdr:from>
    <xdr:to>
      <xdr:col>24</xdr:col>
      <xdr:colOff>85725</xdr:colOff>
      <xdr:row>13</xdr:row>
      <xdr:rowOff>57149</xdr:rowOff>
    </xdr:to>
    <xdr:sp macro="" textlink="Aggregates!K3">
      <xdr:nvSpPr>
        <xdr:cNvPr id="8" name="Rectangle: Rounded Corners 7">
          <a:extLst>
            <a:ext uri="{FF2B5EF4-FFF2-40B4-BE49-F238E27FC236}">
              <a16:creationId xmlns:a16="http://schemas.microsoft.com/office/drawing/2014/main" id="{31BC2B89-6D40-498A-A04D-C21AF379B5AB}"/>
            </a:ext>
          </a:extLst>
        </xdr:cNvPr>
        <xdr:cNvSpPr/>
      </xdr:nvSpPr>
      <xdr:spPr>
        <a:xfrm>
          <a:off x="12201525" y="1733550"/>
          <a:ext cx="2514600" cy="800099"/>
        </a:xfrm>
        <a:prstGeom prst="roundRect">
          <a:avLst>
            <a:gd name="adj" fmla="val 926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367368-898F-4BDC-BFDA-B8D3A06D642C}" type="TxLink">
            <a:rPr lang="en-US" sz="2400" b="1" i="0" u="none" strike="noStrike">
              <a:solidFill>
                <a:schemeClr val="accent5"/>
              </a:solidFill>
              <a:latin typeface="Times New Roman"/>
              <a:cs typeface="Times New Roman"/>
            </a:rPr>
            <a:pPr algn="ctr"/>
            <a:t>₦ 64,528,740</a:t>
          </a:fld>
          <a:endParaRPr lang="en-US" sz="2400" b="1" i="0" u="none" strike="noStrike">
            <a:solidFill>
              <a:schemeClr val="accent5"/>
            </a:solidFill>
            <a:latin typeface="Times New Roman"/>
            <a:cs typeface="Times New Roman"/>
          </a:endParaRPr>
        </a:p>
        <a:p>
          <a:pPr algn="ctr"/>
          <a:r>
            <a:rPr lang="en-US" sz="1200" b="0" i="0" u="none" strike="noStrike">
              <a:solidFill>
                <a:schemeClr val="accent5"/>
              </a:solidFill>
              <a:latin typeface="Times New Roman"/>
              <a:cs typeface="Times New Roman"/>
            </a:rPr>
            <a:t>Total Salary</a:t>
          </a:r>
          <a:endParaRPr lang="en-US" sz="1200">
            <a:solidFill>
              <a:schemeClr val="accent5"/>
            </a:solidFill>
          </a:endParaRPr>
        </a:p>
      </xdr:txBody>
    </xdr:sp>
    <xdr:clientData/>
  </xdr:twoCellAnchor>
  <xdr:twoCellAnchor>
    <xdr:from>
      <xdr:col>20</xdr:col>
      <xdr:colOff>19050</xdr:colOff>
      <xdr:row>13</xdr:row>
      <xdr:rowOff>180975</xdr:rowOff>
    </xdr:from>
    <xdr:to>
      <xdr:col>24</xdr:col>
      <xdr:colOff>95250</xdr:colOff>
      <xdr:row>18</xdr:row>
      <xdr:rowOff>57150</xdr:rowOff>
    </xdr:to>
    <xdr:sp macro="" textlink="Aggregates!K8">
      <xdr:nvSpPr>
        <xdr:cNvPr id="9" name="Rectangle: Rounded Corners 8">
          <a:extLst>
            <a:ext uri="{FF2B5EF4-FFF2-40B4-BE49-F238E27FC236}">
              <a16:creationId xmlns:a16="http://schemas.microsoft.com/office/drawing/2014/main" id="{69A0F0B3-809F-4BBC-A2A2-BCAC2DDA3544}"/>
            </a:ext>
          </a:extLst>
        </xdr:cNvPr>
        <xdr:cNvSpPr/>
      </xdr:nvSpPr>
      <xdr:spPr>
        <a:xfrm>
          <a:off x="12211050" y="2657475"/>
          <a:ext cx="2514600" cy="828675"/>
        </a:xfrm>
        <a:prstGeom prst="roundRect">
          <a:avLst>
            <a:gd name="adj" fmla="val 926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8E3DBE-0914-4041-997B-CD50934CA3EE}" type="TxLink">
            <a:rPr lang="en-US" sz="2400" b="1" i="0" u="none" strike="noStrike">
              <a:solidFill>
                <a:schemeClr val="accent5"/>
              </a:solidFill>
              <a:latin typeface="Times New Roman"/>
              <a:cs typeface="Times New Roman"/>
            </a:rPr>
            <a:pPr algn="ctr"/>
            <a:t>₦ 66,559,937.97</a:t>
          </a:fld>
          <a:endParaRPr lang="en-US" sz="2400" b="1" i="0" u="none" strike="noStrike">
            <a:solidFill>
              <a:schemeClr val="accent5"/>
            </a:solidFill>
            <a:latin typeface="Times New Roman"/>
            <a:cs typeface="Times New Roman"/>
          </a:endParaRPr>
        </a:p>
        <a:p>
          <a:pPr algn="ctr"/>
          <a:r>
            <a:rPr lang="en-US" sz="1200" b="0" i="0" u="none" strike="noStrike">
              <a:solidFill>
                <a:schemeClr val="accent5"/>
              </a:solidFill>
              <a:latin typeface="Times New Roman"/>
              <a:cs typeface="Times New Roman"/>
            </a:rPr>
            <a:t>Total</a:t>
          </a:r>
          <a:r>
            <a:rPr lang="en-US" sz="1200" b="0" i="0" u="none" strike="noStrike" baseline="0">
              <a:solidFill>
                <a:schemeClr val="accent5"/>
              </a:solidFill>
              <a:latin typeface="Times New Roman"/>
              <a:cs typeface="Times New Roman"/>
            </a:rPr>
            <a:t> Salary (bonus inclusive)</a:t>
          </a:r>
          <a:endParaRPr lang="en-US" sz="1200">
            <a:solidFill>
              <a:schemeClr val="accent5"/>
            </a:solidFill>
          </a:endParaRPr>
        </a:p>
      </xdr:txBody>
    </xdr:sp>
    <xdr:clientData/>
  </xdr:twoCellAnchor>
  <xdr:twoCellAnchor>
    <xdr:from>
      <xdr:col>22</xdr:col>
      <xdr:colOff>238125</xdr:colOff>
      <xdr:row>18</xdr:row>
      <xdr:rowOff>180975</xdr:rowOff>
    </xdr:from>
    <xdr:to>
      <xdr:col>24</xdr:col>
      <xdr:colOff>85725</xdr:colOff>
      <xdr:row>23</xdr:row>
      <xdr:rowOff>66675</xdr:rowOff>
    </xdr:to>
    <xdr:sp macro="" textlink="Aggregates!N8">
      <xdr:nvSpPr>
        <xdr:cNvPr id="10" name="Rectangle: Rounded Corners 9">
          <a:extLst>
            <a:ext uri="{FF2B5EF4-FFF2-40B4-BE49-F238E27FC236}">
              <a16:creationId xmlns:a16="http://schemas.microsoft.com/office/drawing/2014/main" id="{69D58BE7-5E26-4ABA-9401-A80A97A7E5CB}"/>
            </a:ext>
          </a:extLst>
        </xdr:cNvPr>
        <xdr:cNvSpPr/>
      </xdr:nvSpPr>
      <xdr:spPr>
        <a:xfrm>
          <a:off x="13649325" y="3609975"/>
          <a:ext cx="1066800" cy="838200"/>
        </a:xfrm>
        <a:prstGeom prst="roundRect">
          <a:avLst>
            <a:gd name="adj" fmla="val 855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76693F-689F-4991-83C7-19EDF99DD2A7}" type="TxLink">
            <a:rPr lang="en-US" sz="1600" b="1" i="0" u="none" strike="noStrike">
              <a:solidFill>
                <a:schemeClr val="accent5"/>
              </a:solidFill>
              <a:latin typeface="Times New Roman"/>
              <a:cs typeface="Times New Roman"/>
            </a:rPr>
            <a:pPr algn="ctr"/>
            <a:t>3.14%</a:t>
          </a:fld>
          <a:endParaRPr lang="en-US" sz="1600" b="1" i="0" u="none" strike="noStrike">
            <a:solidFill>
              <a:schemeClr val="accent5"/>
            </a:solidFill>
            <a:latin typeface="Times New Roman"/>
            <a:cs typeface="Times New Roman"/>
          </a:endParaRPr>
        </a:p>
        <a:p>
          <a:pPr algn="ctr"/>
          <a:r>
            <a:rPr lang="en-US" sz="1050" b="0" i="0" u="none" strike="noStrike">
              <a:solidFill>
                <a:schemeClr val="accent5"/>
              </a:solidFill>
              <a:latin typeface="Times New Roman"/>
              <a:cs typeface="Times New Roman"/>
            </a:rPr>
            <a:t>Avg. Bonus %</a:t>
          </a:r>
          <a:endParaRPr lang="en-US" sz="1200">
            <a:solidFill>
              <a:schemeClr val="accent5"/>
            </a:solidFill>
          </a:endParaRPr>
        </a:p>
      </xdr:txBody>
    </xdr:sp>
    <xdr:clientData/>
  </xdr:twoCellAnchor>
  <xdr:twoCellAnchor>
    <xdr:from>
      <xdr:col>19</xdr:col>
      <xdr:colOff>609598</xdr:colOff>
      <xdr:row>24</xdr:row>
      <xdr:rowOff>0</xdr:rowOff>
    </xdr:from>
    <xdr:to>
      <xdr:col>22</xdr:col>
      <xdr:colOff>133350</xdr:colOff>
      <xdr:row>27</xdr:row>
      <xdr:rowOff>133350</xdr:rowOff>
    </xdr:to>
    <xdr:sp macro="" textlink="Aggregates!E3">
      <xdr:nvSpPr>
        <xdr:cNvPr id="11" name="Rectangle: Rounded Corners 10">
          <a:extLst>
            <a:ext uri="{FF2B5EF4-FFF2-40B4-BE49-F238E27FC236}">
              <a16:creationId xmlns:a16="http://schemas.microsoft.com/office/drawing/2014/main" id="{8EF5450B-BC68-4CDA-9C3C-3D06CB47921D}"/>
            </a:ext>
          </a:extLst>
        </xdr:cNvPr>
        <xdr:cNvSpPr/>
      </xdr:nvSpPr>
      <xdr:spPr>
        <a:xfrm>
          <a:off x="12191998" y="4572000"/>
          <a:ext cx="1352552" cy="704850"/>
        </a:xfrm>
        <a:prstGeom prst="roundRect">
          <a:avLst>
            <a:gd name="adj" fmla="val 8559"/>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7D397E-03FB-42D5-B260-12F1011CC15A}" type="TxLink">
            <a:rPr lang="en-US" sz="2400" b="1" i="0" u="none" strike="noStrike">
              <a:solidFill>
                <a:schemeClr val="accent5"/>
              </a:solidFill>
              <a:latin typeface="Times New Roman"/>
              <a:cs typeface="Times New Roman"/>
            </a:rPr>
            <a:pPr algn="ctr"/>
            <a:t>12</a:t>
          </a:fld>
          <a:endParaRPr lang="en-US" sz="2400" b="1" i="0" u="none" strike="noStrike">
            <a:solidFill>
              <a:schemeClr val="accent5"/>
            </a:solidFill>
            <a:latin typeface="Times New Roman"/>
            <a:cs typeface="Times New Roman"/>
          </a:endParaRPr>
        </a:p>
        <a:p>
          <a:pPr algn="ctr"/>
          <a:r>
            <a:rPr lang="en-US" sz="1100" b="0" i="0" u="none" strike="noStrike">
              <a:solidFill>
                <a:schemeClr val="accent5"/>
              </a:solidFill>
              <a:latin typeface="Times New Roman"/>
              <a:cs typeface="Times New Roman"/>
            </a:rPr>
            <a:t>Departments</a:t>
          </a:r>
          <a:endParaRPr lang="en-US" sz="1100">
            <a:solidFill>
              <a:schemeClr val="accent5"/>
            </a:solidFill>
          </a:endParaRPr>
        </a:p>
      </xdr:txBody>
    </xdr:sp>
    <xdr:clientData/>
  </xdr:twoCellAnchor>
  <xdr:twoCellAnchor>
    <xdr:from>
      <xdr:col>0</xdr:col>
      <xdr:colOff>104775</xdr:colOff>
      <xdr:row>5</xdr:row>
      <xdr:rowOff>9525</xdr:rowOff>
    </xdr:from>
    <xdr:to>
      <xdr:col>3</xdr:col>
      <xdr:colOff>76200</xdr:colOff>
      <xdr:row>13</xdr:row>
      <xdr:rowOff>142875</xdr:rowOff>
    </xdr:to>
    <xdr:sp macro="" textlink="">
      <xdr:nvSpPr>
        <xdr:cNvPr id="12" name="Rectangle: Rounded Corners 11">
          <a:extLst>
            <a:ext uri="{FF2B5EF4-FFF2-40B4-BE49-F238E27FC236}">
              <a16:creationId xmlns:a16="http://schemas.microsoft.com/office/drawing/2014/main" id="{6F1C4187-8C57-4497-9180-4F6241EAAC15}"/>
            </a:ext>
          </a:extLst>
        </xdr:cNvPr>
        <xdr:cNvSpPr/>
      </xdr:nvSpPr>
      <xdr:spPr>
        <a:xfrm>
          <a:off x="104775" y="962025"/>
          <a:ext cx="1800225" cy="1657350"/>
        </a:xfrm>
        <a:prstGeom prst="roundRect">
          <a:avLst>
            <a:gd name="adj" fmla="val 92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180975</xdr:colOff>
      <xdr:row>24</xdr:row>
      <xdr:rowOff>0</xdr:rowOff>
    </xdr:from>
    <xdr:to>
      <xdr:col>24</xdr:col>
      <xdr:colOff>76200</xdr:colOff>
      <xdr:row>27</xdr:row>
      <xdr:rowOff>133350</xdr:rowOff>
    </xdr:to>
    <xdr:sp macro="" textlink="Aggregates!H3">
      <xdr:nvSpPr>
        <xdr:cNvPr id="13" name="Rectangle: Rounded Corners 12">
          <a:extLst>
            <a:ext uri="{FF2B5EF4-FFF2-40B4-BE49-F238E27FC236}">
              <a16:creationId xmlns:a16="http://schemas.microsoft.com/office/drawing/2014/main" id="{754EB1CD-1623-4F48-9E91-7D63EE45B1AE}"/>
            </a:ext>
          </a:extLst>
        </xdr:cNvPr>
        <xdr:cNvSpPr/>
      </xdr:nvSpPr>
      <xdr:spPr>
        <a:xfrm>
          <a:off x="13592175" y="4572000"/>
          <a:ext cx="1114425" cy="704850"/>
        </a:xfrm>
        <a:prstGeom prst="roundRect">
          <a:avLst>
            <a:gd name="adj" fmla="val 5634"/>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00FFEFD-1055-4C58-B6BC-18B0FAEF01A5}" type="TxLink">
            <a:rPr lang="en-US" sz="2400" b="1" i="0" u="none" strike="noStrike">
              <a:solidFill>
                <a:schemeClr val="accent5"/>
              </a:solidFill>
              <a:latin typeface="Times New Roman"/>
              <a:cs typeface="Times New Roman"/>
            </a:rPr>
            <a:pPr algn="ctr"/>
            <a:t>3</a:t>
          </a:fld>
          <a:endParaRPr lang="en-US" sz="2400" b="1" i="0" u="none" strike="noStrike">
            <a:solidFill>
              <a:schemeClr val="accent5"/>
            </a:solidFill>
            <a:latin typeface="Times New Roman"/>
            <a:cs typeface="Times New Roman"/>
          </a:endParaRPr>
        </a:p>
        <a:p>
          <a:pPr algn="ctr"/>
          <a:r>
            <a:rPr lang="en-US" sz="1200" b="0" i="0" u="none" strike="noStrike">
              <a:solidFill>
                <a:schemeClr val="accent5"/>
              </a:solidFill>
              <a:latin typeface="Times New Roman"/>
              <a:cs typeface="Times New Roman"/>
            </a:rPr>
            <a:t>Regions</a:t>
          </a:r>
          <a:endParaRPr lang="en-US" sz="1100" b="0">
            <a:solidFill>
              <a:schemeClr val="accent5"/>
            </a:solidFill>
          </a:endParaRPr>
        </a:p>
      </xdr:txBody>
    </xdr:sp>
    <xdr:clientData/>
  </xdr:twoCellAnchor>
  <xdr:twoCellAnchor>
    <xdr:from>
      <xdr:col>21</xdr:col>
      <xdr:colOff>47625</xdr:colOff>
      <xdr:row>0</xdr:row>
      <xdr:rowOff>161925</xdr:rowOff>
    </xdr:from>
    <xdr:to>
      <xdr:col>22</xdr:col>
      <xdr:colOff>333375</xdr:colOff>
      <xdr:row>4</xdr:row>
      <xdr:rowOff>38100</xdr:rowOff>
    </xdr:to>
    <xdr:sp macro="" textlink="">
      <xdr:nvSpPr>
        <xdr:cNvPr id="14" name="Rectangle: Rounded Corners 13">
          <a:extLst>
            <a:ext uri="{FF2B5EF4-FFF2-40B4-BE49-F238E27FC236}">
              <a16:creationId xmlns:a16="http://schemas.microsoft.com/office/drawing/2014/main" id="{6DD3DBB3-D7DF-4883-9BEA-E41459E9647B}"/>
            </a:ext>
          </a:extLst>
        </xdr:cNvPr>
        <xdr:cNvSpPr/>
      </xdr:nvSpPr>
      <xdr:spPr>
        <a:xfrm>
          <a:off x="12849225" y="161925"/>
          <a:ext cx="895350" cy="638175"/>
        </a:xfrm>
        <a:prstGeom prst="roundRect">
          <a:avLst>
            <a:gd name="adj" fmla="val 92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18</xdr:row>
      <xdr:rowOff>0</xdr:rowOff>
    </xdr:from>
    <xdr:to>
      <xdr:col>13</xdr:col>
      <xdr:colOff>381000</xdr:colOff>
      <xdr:row>29</xdr:row>
      <xdr:rowOff>142875</xdr:rowOff>
    </xdr:to>
    <xdr:sp macro="" textlink="">
      <xdr:nvSpPr>
        <xdr:cNvPr id="15" name="Rectangle: Rounded Corners 14">
          <a:extLst>
            <a:ext uri="{FF2B5EF4-FFF2-40B4-BE49-F238E27FC236}">
              <a16:creationId xmlns:a16="http://schemas.microsoft.com/office/drawing/2014/main" id="{58EE5122-EEA2-4BF0-AA29-ACA2A63DF57F}"/>
            </a:ext>
          </a:extLst>
        </xdr:cNvPr>
        <xdr:cNvSpPr/>
      </xdr:nvSpPr>
      <xdr:spPr>
        <a:xfrm>
          <a:off x="5486400" y="3429000"/>
          <a:ext cx="2819400" cy="2238375"/>
        </a:xfrm>
        <a:prstGeom prst="roundRect">
          <a:avLst>
            <a:gd name="adj" fmla="val 9204"/>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457200</xdr:colOff>
      <xdr:row>7</xdr:row>
      <xdr:rowOff>171450</xdr:rowOff>
    </xdr:from>
    <xdr:to>
      <xdr:col>5</xdr:col>
      <xdr:colOff>228600</xdr:colOff>
      <xdr:row>19</xdr:row>
      <xdr:rowOff>123825</xdr:rowOff>
    </xdr:to>
    <xdr:sp macro="" textlink="">
      <xdr:nvSpPr>
        <xdr:cNvPr id="16" name="Rectangle: Rounded Corners 15">
          <a:extLst>
            <a:ext uri="{FF2B5EF4-FFF2-40B4-BE49-F238E27FC236}">
              <a16:creationId xmlns:a16="http://schemas.microsoft.com/office/drawing/2014/main" id="{84A5FFC4-F80A-4DAD-93CD-021263F034F5}"/>
            </a:ext>
          </a:extLst>
        </xdr:cNvPr>
        <xdr:cNvSpPr/>
      </xdr:nvSpPr>
      <xdr:spPr>
        <a:xfrm>
          <a:off x="457200" y="1504950"/>
          <a:ext cx="2819400" cy="2238375"/>
        </a:xfrm>
        <a:prstGeom prst="roundRect">
          <a:avLst>
            <a:gd name="adj" fmla="val 9204"/>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333375</xdr:colOff>
      <xdr:row>7</xdr:row>
      <xdr:rowOff>161925</xdr:rowOff>
    </xdr:from>
    <xdr:to>
      <xdr:col>10</xdr:col>
      <xdr:colOff>104775</xdr:colOff>
      <xdr:row>19</xdr:row>
      <xdr:rowOff>114300</xdr:rowOff>
    </xdr:to>
    <xdr:sp macro="" textlink="">
      <xdr:nvSpPr>
        <xdr:cNvPr id="17" name="Rectangle: Rounded Corners 16">
          <a:extLst>
            <a:ext uri="{FF2B5EF4-FFF2-40B4-BE49-F238E27FC236}">
              <a16:creationId xmlns:a16="http://schemas.microsoft.com/office/drawing/2014/main" id="{5E679EE3-EE0E-468C-8645-0959327AACE2}"/>
            </a:ext>
          </a:extLst>
        </xdr:cNvPr>
        <xdr:cNvSpPr/>
      </xdr:nvSpPr>
      <xdr:spPr>
        <a:xfrm>
          <a:off x="3381375" y="1495425"/>
          <a:ext cx="2819400" cy="2238375"/>
        </a:xfrm>
        <a:prstGeom prst="roundRect">
          <a:avLst>
            <a:gd name="adj" fmla="val 9204"/>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447675</xdr:colOff>
      <xdr:row>7</xdr:row>
      <xdr:rowOff>152400</xdr:rowOff>
    </xdr:from>
    <xdr:to>
      <xdr:col>20</xdr:col>
      <xdr:colOff>219075</xdr:colOff>
      <xdr:row>19</xdr:row>
      <xdr:rowOff>104775</xdr:rowOff>
    </xdr:to>
    <xdr:sp macro="" textlink="">
      <xdr:nvSpPr>
        <xdr:cNvPr id="18" name="Rectangle: Rounded Corners 17">
          <a:extLst>
            <a:ext uri="{FF2B5EF4-FFF2-40B4-BE49-F238E27FC236}">
              <a16:creationId xmlns:a16="http://schemas.microsoft.com/office/drawing/2014/main" id="{2B692880-F5F6-452B-A12E-8F62F984EE98}"/>
            </a:ext>
          </a:extLst>
        </xdr:cNvPr>
        <xdr:cNvSpPr/>
      </xdr:nvSpPr>
      <xdr:spPr>
        <a:xfrm>
          <a:off x="9591675" y="1485900"/>
          <a:ext cx="2819400" cy="2238375"/>
        </a:xfrm>
        <a:prstGeom prst="roundRect">
          <a:avLst>
            <a:gd name="adj" fmla="val 9204"/>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88310187" createdVersion="5" refreshedVersion="8" minRefreshableVersion="3" recordCount="0" supportSubquery="1" supportAdvancedDrill="1" xr:uid="{13200E8E-7F24-4435-A3DE-3880EA23DF8B}">
  <cacheSource type="external" connectionId="2"/>
  <cacheFields count="4">
    <cacheField name="[pg].[Gender].[Gender]" caption="Gender" numFmtId="0" hierarchy="2" level="1">
      <sharedItems count="3">
        <s v="Female"/>
        <s v="Male"/>
        <s v="Others"/>
      </sharedItems>
    </cacheField>
    <cacheField name="[pg].[Location].[Location]" caption="Location" numFmtId="0" hierarchy="8" level="1">
      <sharedItems count="3">
        <s v="Abuja"/>
        <s v="Kaduna"/>
        <s v="Lagos"/>
      </sharedItems>
    </cacheField>
    <cacheField name="[Measures].[Distinct Count of S/N]" caption="Distinct Count of S/N" numFmtId="0" hierarchy="15"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2" memberValueDatatype="20" unbalanced="0"/>
    <cacheHierarchy uniqueName="[pg].[Name]" caption="Name" attribute="1" defaultMemberUniqueName="[pg].[Name].[All]" allUniqueName="[pg].[Name].[All]" dimensionUniqueName="[pg]" displayFolder="" count="2" memberValueDatatype="130" unbalanced="0"/>
    <cacheHierarchy uniqueName="[pg].[Gender]" caption="Gender" attribute="1" defaultMemberUniqueName="[pg].[Gender].[All]" allUniqueName="[pg].[Gender].[All]" dimensionUniqueName="[pg]" displayFolder="" count="2" memberValueDatatype="130" unbalanced="0">
      <fieldsUsage count="2">
        <fieldUsage x="-1"/>
        <fieldUsage x="0"/>
      </fieldsUsage>
    </cacheHierarchy>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2" memberValueDatatype="130" unbalanced="0"/>
    <cacheHierarchy uniqueName="[pg].[Salary]" caption="Salary" attribute="1" defaultMemberUniqueName="[pg].[Salary].[All]" allUniqueName="[pg].[Salary].[All]" dimensionUniqueName="[pg]" displayFolder="" count="2" memberValueDatatype="20" unbalanced="0"/>
    <cacheHierarchy uniqueName="[pg].[Bonus]" caption="Bonus" attribute="1" defaultMemberUniqueName="[pg].[Bonus].[All]" allUniqueName="[pg].[Bonus].[All]" dimensionUniqueName="[pg]" displayFolder="" count="2" memberValueDatatype="5" unbalanced="0"/>
    <cacheHierarchy uniqueName="[pg].[Total salary]" caption="Total salary" attribute="1" defaultMemberUniqueName="[pg].[Total salary].[All]" allUniqueName="[pg].[Total salary].[All]" dimensionUniqueName="[pg]" displayFolder="" count="2" memberValueDatatype="5" unbalanced="0"/>
    <cacheHierarchy uniqueName="[pg].[Location]" caption="Location" attribute="1" defaultMemberUniqueName="[pg].[Location].[All]" allUniqueName="[pg].[Location].[All]" dimensionUniqueName="[pg]" displayFolder="" count="2" memberValueDatatype="130" unbalanced="0">
      <fieldsUsage count="2">
        <fieldUsage x="-1"/>
        <fieldUsage x="1"/>
      </fieldsUsage>
    </cacheHierarchy>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2"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3"/>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2"/>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88773149" createdVersion="5" refreshedVersion="8" minRefreshableVersion="3" recordCount="0" supportSubquery="1" supportAdvancedDrill="1" xr:uid="{BD667D24-895F-4373-A50A-9B34A1B6F461}">
  <cacheSource type="external" connectionId="2"/>
  <cacheFields count="2">
    <cacheField name="[Measures].[Distinct Count of S/N]" caption="Distinct Count of S/N" numFmtId="0" hierarchy="15"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0"/>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89004633" createdVersion="5" refreshedVersion="8" minRefreshableVersion="3" recordCount="0" supportSubquery="1" supportAdvancedDrill="1" xr:uid="{2E2ABC3B-03AB-4704-9C86-142F2C110F23}">
  <cacheSource type="external" connectionId="2"/>
  <cacheFields count="2">
    <cacheField name="[Measures].[Distinct Count of Department]" caption="Distinct Count of Department" numFmtId="0" hierarchy="27"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89351849" createdVersion="5" refreshedVersion="8" minRefreshableVersion="3" recordCount="0" supportSubquery="1" supportAdvancedDrill="1" xr:uid="{3D502E4E-C1C7-46BD-8D64-FA0C6C295558}">
  <cacheSource type="external" connectionId="2"/>
  <cacheFields count="2">
    <cacheField name="[Measures].[Distinct Count of Location]" caption="Distinct Count of Location" numFmtId="0" hierarchy="28"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oneField="1" hidden="1">
      <fieldsUsage count="1">
        <fieldUsage x="0"/>
      </fieldsUsage>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89699072" createdVersion="5" refreshedVersion="8" minRefreshableVersion="3" recordCount="0" supportSubquery="1" supportAdvancedDrill="1" xr:uid="{AA4A60E4-0CFF-424E-AB26-281F3EEDD864}">
  <cacheSource type="external" connectionId="2"/>
  <cacheFields count="2">
    <cacheField name="[Measures].[Sum of Salary]" caption="Sum of Salary" numFmtId="0" hierarchy="17"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0046296" createdVersion="5" refreshedVersion="8" minRefreshableVersion="3" recordCount="0" supportSubquery="1" supportAdvancedDrill="1" xr:uid="{A51E0EF5-9B39-4081-9B7D-728B432A9BDA}">
  <cacheSource type="external" connectionId="2"/>
  <cacheFields count="2">
    <cacheField name="[Measures].[Sum of Bonus]" caption="Sum of Bonus" numFmtId="0" hierarchy="21"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0393519" createdVersion="5" refreshedVersion="8" minRefreshableVersion="3" recordCount="0" supportSubquery="1" supportAdvancedDrill="1" xr:uid="{8307D0B6-898C-4F8B-B61C-305CFD7DD38E}">
  <cacheSource type="external" connectionId="2"/>
  <cacheFields count="2">
    <cacheField name="[Measures].[Average of Salary]" caption="Average of Salary" numFmtId="0" hierarchy="19"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1087965" createdVersion="5" refreshedVersion="8" minRefreshableVersion="3" recordCount="0" supportSubquery="1" supportAdvancedDrill="1" xr:uid="{00AA5417-376E-49B1-9B89-DDE6E6893A16}">
  <cacheSource type="external" connectionId="2"/>
  <cacheFields count="2">
    <cacheField name="[Measures].[Average of Bonus]" caption="Average of Bonus" numFmtId="0" hierarchy="23"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1550927" createdVersion="5" refreshedVersion="8" minRefreshableVersion="3" recordCount="0" supportSubquery="1" supportAdvancedDrill="1" xr:uid="{62086B35-1F67-46E3-B72D-F2212D5DC21E}">
  <cacheSource type="external" connectionId="2"/>
  <cacheFields count="2">
    <cacheField name="[Measures].[Sum of Total salary]" caption="Sum of Total salary" numFmtId="0" hierarchy="18"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1898151" createdVersion="5" refreshedVersion="8" minRefreshableVersion="3" recordCount="0" supportSubquery="1" supportAdvancedDrill="1" xr:uid="{741033F1-3406-416F-AF57-F87C9ADCFE2D}">
  <cacheSource type="external" connectionId="2"/>
  <cacheFields count="2">
    <cacheField name="[Measures].[Average of Bonus percentage]" caption="Average of Bonus percentage" numFmtId="0" hierarchy="24"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1"/>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259259" createdVersion="5" refreshedVersion="8" minRefreshableVersion="3" recordCount="0" supportSubquery="1" supportAdvancedDrill="1" xr:uid="{F29238A3-7140-4241-A0D6-4EABE42998C3}">
  <cacheSource type="external" connectionId="2"/>
  <cacheFields count="3">
    <cacheField name="[pg].[Gender].[Gender]" caption="Gender" numFmtId="0" hierarchy="2" level="1">
      <sharedItems count="3">
        <s v="Female"/>
        <s v="Male"/>
        <s v="Others"/>
      </sharedItems>
    </cacheField>
    <cacheField name="[Measures].[Distinct Count of S/N]" caption="Distinct Count of S/N" numFmtId="0" hierarchy="15"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fieldsUsage count="2">
        <fieldUsage x="-1"/>
        <fieldUsage x="0"/>
      </fieldsUsage>
    </cacheHierarchy>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2"/>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1"/>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3171298" createdVersion="5" refreshedVersion="8" minRefreshableVersion="3" recordCount="0" supportSubquery="1" supportAdvancedDrill="1" xr:uid="{F8385B60-E320-452E-84F4-A6AC5F9CCCC1}">
  <cacheSource type="external" connectionId="2"/>
  <cacheFields count="3">
    <cacheField name="[pg].[Department].[Department]" caption="Department" numFmtId="0" hierarchy="3" level="1">
      <sharedItems count="12">
        <s v="Accounting"/>
        <s v="Business Development"/>
        <s v="Engineering"/>
        <s v="Human Resources"/>
        <s v="Legal"/>
        <s v="Marketing"/>
        <s v="Product Management"/>
        <s v="Research and Development"/>
        <s v="Sales"/>
        <s v="Services"/>
        <s v="Support"/>
        <s v="Training"/>
      </sharedItems>
    </cacheField>
    <cacheField name="[Measures].[Distinct Count of S/N]" caption="Distinct Count of S/N" numFmtId="0" hierarchy="15"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fieldsUsage count="2">
        <fieldUsage x="-1"/>
        <fieldUsage x="0"/>
      </fieldsUsage>
    </cacheHierarchy>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2"/>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1"/>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363426" createdVersion="5" refreshedVersion="8" minRefreshableVersion="3" recordCount="0" supportSubquery="1" supportAdvancedDrill="1" xr:uid="{E9CC296F-DA20-4BD0-9C54-F2F167B840D5}">
  <cacheSource type="external" connectionId="2"/>
  <cacheFields count="4">
    <cacheField name="[pg].[Rating].[Rating]" caption="Rating" numFmtId="0" hierarchy="9" level="1">
      <sharedItems count="6">
        <s v="Average"/>
        <s v="Good"/>
        <s v="Not Rated"/>
        <s v="Poor"/>
        <s v="Very Good"/>
        <s v="Very Poor"/>
      </sharedItems>
    </cacheField>
    <cacheField name="[pg].[Gender].[Gender]" caption="Gender" numFmtId="0" hierarchy="2" level="1">
      <sharedItems count="3">
        <s v="Female"/>
        <s v="Male"/>
        <s v="Others"/>
      </sharedItems>
    </cacheField>
    <cacheField name="[Measures].[Distinct Count of S/N]" caption="Distinct Count of S/N" numFmtId="0" hierarchy="15"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fieldsUsage count="2">
        <fieldUsage x="-1"/>
        <fieldUsage x="1"/>
      </fieldsUsage>
    </cacheHierarchy>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fieldsUsage count="2">
        <fieldUsage x="-1"/>
        <fieldUsage x="0"/>
      </fieldsUsage>
    </cacheHierarchy>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3"/>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2"/>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4097221" createdVersion="5" refreshedVersion="8" minRefreshableVersion="3" recordCount="0" supportSubquery="1" supportAdvancedDrill="1" xr:uid="{9BE57EDF-D546-4CC7-B8AF-CB7588CF83DC}">
  <cacheSource type="external" connectionId="2"/>
  <cacheFields count="4">
    <cacheField name="[pg].[Department].[Department]" caption="Department" numFmtId="0" hierarchy="3" level="1">
      <sharedItems count="12">
        <s v="Accounting"/>
        <s v="Business Development"/>
        <s v="Engineering"/>
        <s v="Human Resources"/>
        <s v="Legal"/>
        <s v="Marketing"/>
        <s v="Product Management"/>
        <s v="Research and Development"/>
        <s v="Sales"/>
        <s v="Services"/>
        <s v="Support"/>
        <s v="Training"/>
      </sharedItems>
    </cacheField>
    <cacheField name="[pg].[Gender].[Gender]" caption="Gender" numFmtId="0" hierarchy="2" level="1">
      <sharedItems count="3">
        <s v="Female"/>
        <s v="Male"/>
        <s v="Others"/>
      </sharedItems>
    </cacheField>
    <cacheField name="[Measures].[Average of Salary]" caption="Average of Salary" numFmtId="0" hierarchy="19"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fieldsUsage count="2">
        <fieldUsage x="-1"/>
        <fieldUsage x="1"/>
      </fieldsUsage>
    </cacheHierarchy>
    <cacheHierarchy uniqueName="[pg].[Department]" caption="Department" attribute="1" defaultMemberUniqueName="[pg].[Department].[All]" allUniqueName="[pg].[Department].[All]" dimensionUniqueName="[pg]" displayFolder="" count="2" memberValueDatatype="130" unbalanced="0">
      <fieldsUsage count="2">
        <fieldUsage x="-1"/>
        <fieldUsage x="0"/>
      </fieldsUsage>
    </cacheHierarchy>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3"/>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4791668" createdVersion="5" refreshedVersion="8" minRefreshableVersion="3" recordCount="0" supportSubquery="1" supportAdvancedDrill="1" xr:uid="{8D920D23-7DA6-49F0-8923-D9580FB39C36}">
  <cacheSource type="external" connectionId="2"/>
  <cacheFields count="3">
    <cacheField name="[pg].[Meet minimun].[Meet minimun]" caption="Meet minimun" numFmtId="0" hierarchy="11" level="1">
      <sharedItems count="2">
        <s v="Met minimum"/>
        <s v="Not met minimum"/>
      </sharedItems>
    </cacheField>
    <cacheField name="[pg].[Gender].[Gender]" caption="Gender" numFmtId="0" hierarchy="2" level="1">
      <sharedItems count="3">
        <s v="Female"/>
        <s v="Male"/>
        <s v="Others"/>
      </sharedItems>
    </cacheField>
    <cacheField name="[Measures].[Distinct Count of S/N]" caption="Distinct Count of S/N" numFmtId="0" hierarchy="15" level="32767"/>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fieldsUsage count="2">
        <fieldUsage x="-1"/>
        <fieldUsage x="1"/>
      </fieldsUsage>
    </cacheHierarchy>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0"/>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2"/>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5486114" createdVersion="5" refreshedVersion="8" minRefreshableVersion="3" recordCount="0" supportSubquery="1" supportAdvancedDrill="1" xr:uid="{1C88695B-2D59-4598-A324-581BA2AFBB4B}">
  <cacheSource type="external" connectionId="2"/>
  <cacheFields count="4">
    <cacheField name="[pg].[Salary Category].[Salary Category]" caption="Salary Category" numFmtId="0" hierarchy="4" level="1">
      <sharedItems count="5">
        <s v="100,000 - 110,000"/>
        <s v="30,000 - 40,000"/>
        <s v="40,000 - 50,000"/>
        <s v="70,000 - 80,000"/>
        <s v="80,000 - 90,000"/>
      </sharedItems>
    </cacheField>
    <cacheField name="[pg].[Gender].[Gender]" caption="Gender" numFmtId="0" hierarchy="2" level="1">
      <sharedItems count="3">
        <s v="Female"/>
        <s v="Male"/>
        <s v="Others"/>
      </sharedItems>
    </cacheField>
    <cacheField name="[Measures].[Distinct Count of S/N]" caption="Distinct Count of S/N" numFmtId="0" hierarchy="15"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fieldsUsage count="2">
        <fieldUsage x="-1"/>
        <fieldUsage x="1"/>
      </fieldsUsage>
    </cacheHierarchy>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2" memberValueDatatype="130" unbalanced="0">
      <fieldsUsage count="2">
        <fieldUsage x="-1"/>
        <fieldUsage x="0"/>
      </fieldsUsage>
    </cacheHierarchy>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3"/>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oneField="1" hidden="1">
      <fieldsUsage count="1">
        <fieldUsage x="2"/>
      </fieldsUsage>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6180554" createdVersion="5" refreshedVersion="8" minRefreshableVersion="3" recordCount="0" supportSubquery="1" supportAdvancedDrill="1" xr:uid="{0E371E22-ECF7-43E1-BD00-367E58958A46}">
  <cacheSource type="external" connectionId="2"/>
  <cacheFields count="4">
    <cacheField name="[pg].[Gender].[Gender]" caption="Gender" numFmtId="0" hierarchy="2" level="1">
      <sharedItems count="3">
        <s v="Female"/>
        <s v="Male"/>
        <s v="Others"/>
      </sharedItems>
    </cacheField>
    <cacheField name="[Measures].[Average of Salary]" caption="Average of Salary" numFmtId="0" hierarchy="19" level="32767"/>
    <cacheField name="[Measures].[Average of Total salary]" caption="Average of Total salary" numFmtId="0" hierarchy="20" level="32767"/>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fieldsUsage count="2">
        <fieldUsage x="-1"/>
        <fieldUsage x="0"/>
      </fieldsUsage>
    </cacheHierarchy>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3"/>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85.519496759262" createdVersion="5" refreshedVersion="8" minRefreshableVersion="3" recordCount="0" supportSubquery="1" supportAdvancedDrill="1" xr:uid="{C72712E4-1A08-49B3-B478-367323467353}">
  <cacheSource type="external" connectionId="2"/>
  <cacheFields count="4">
    <cacheField name="[Measures].[Average of Salary]" caption="Average of Salary" numFmtId="0" hierarchy="19" level="32767"/>
    <cacheField name="[Measures].[Average of Total salary]" caption="Average of Total salary" numFmtId="0" hierarchy="20" level="32767"/>
    <cacheField name="[pg].[Department].[Department]" caption="Department" numFmtId="0" hierarchy="3" level="1">
      <sharedItems count="12">
        <s v="Accounting"/>
        <s v="Business Development"/>
        <s v="Engineering"/>
        <s v="Human Resources"/>
        <s v="Legal"/>
        <s v="Marketing"/>
        <s v="Product Management"/>
        <s v="Research and Development"/>
        <s v="Sales"/>
        <s v="Services"/>
        <s v="Support"/>
        <s v="Training"/>
      </sharedItems>
    </cacheField>
    <cacheField name="[pg].[Meet minimun].[Meet minimun]" caption="Meet minimun" numFmtId="0" hierarchy="11" level="1">
      <sharedItems containsSemiMixedTypes="0" containsNonDate="0" containsString="0"/>
    </cacheField>
  </cacheFields>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fieldsUsage count="2">
        <fieldUsage x="-1"/>
        <fieldUsage x="2"/>
      </fieldsUsage>
    </cacheHierarchy>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fieldsUsage count="2">
        <fieldUsage x="-1"/>
        <fieldUsage x="3"/>
      </fieldsUsage>
    </cacheHierarchy>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pg" uniqueName="[pg]" caption="pg"/>
  </dimensions>
  <measureGroups count="1">
    <measureGroup name="pg" caption="p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y Iluyemi" refreshedDate="45962.481453009263" createdVersion="3" refreshedVersion="8" minRefreshableVersion="3" recordCount="0" supportSubquery="1" supportAdvancedDrill="1" xr:uid="{34924799-FAF8-490F-8B4B-71625D9D9399}">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pg].[S/N]" caption="S/N" attribute="1" defaultMemberUniqueName="[pg].[S/N].[All]" allUniqueName="[pg].[S/N].[All]" dimensionUniqueName="[pg]" displayFolder="" count="0" memberValueDatatype="20" unbalanced="0"/>
    <cacheHierarchy uniqueName="[pg].[Name]" caption="Name" attribute="1" defaultMemberUniqueName="[pg].[Name].[All]" allUniqueName="[pg].[Name].[All]" dimensionUniqueName="[pg]" displayFolder="" count="0" memberValueDatatype="130" unbalanced="0"/>
    <cacheHierarchy uniqueName="[pg].[Gender]" caption="Gender" attribute="1" defaultMemberUniqueName="[pg].[Gender].[All]" allUniqueName="[pg].[Gender].[All]" dimensionUniqueName="[pg]" displayFolder="" count="2" memberValueDatatype="130" unbalanced="0"/>
    <cacheHierarchy uniqueName="[pg].[Department]" caption="Department" attribute="1" defaultMemberUniqueName="[pg].[Department].[All]" allUniqueName="[pg].[Department].[All]" dimensionUniqueName="[pg]" displayFolder="" count="2" memberValueDatatype="130" unbalanced="0"/>
    <cacheHierarchy uniqueName="[pg].[Salary Category]" caption="Salary Category" attribute="1" defaultMemberUniqueName="[pg].[Salary Category].[All]" allUniqueName="[pg].[Salary Category].[All]" dimensionUniqueName="[pg]" displayFolder="" count="0" memberValueDatatype="130" unbalanced="0"/>
    <cacheHierarchy uniqueName="[pg].[Salary]" caption="Salary" attribute="1" defaultMemberUniqueName="[pg].[Salary].[All]" allUniqueName="[pg].[Salary].[All]" dimensionUniqueName="[pg]" displayFolder="" count="0" memberValueDatatype="20" unbalanced="0"/>
    <cacheHierarchy uniqueName="[pg].[Bonus]" caption="Bonus" attribute="1" defaultMemberUniqueName="[pg].[Bonus].[All]" allUniqueName="[pg].[Bonus].[All]" dimensionUniqueName="[pg]" displayFolder="" count="0" memberValueDatatype="5" unbalanced="0"/>
    <cacheHierarchy uniqueName="[pg].[Total salary]" caption="Total salary" attribute="1" defaultMemberUniqueName="[pg].[Total salary].[All]" allUniqueName="[pg].[Total salary].[All]" dimensionUniqueName="[pg]" displayFolder="" count="0" memberValueDatatype="5" unbalanced="0"/>
    <cacheHierarchy uniqueName="[pg].[Location]" caption="Location" attribute="1" defaultMemberUniqueName="[pg].[Location].[All]" allUniqueName="[pg].[Location].[All]" dimensionUniqueName="[pg]" displayFolder="" count="2" memberValueDatatype="130" unbalanced="0"/>
    <cacheHierarchy uniqueName="[pg].[Rating]" caption="Rating" attribute="1" defaultMemberUniqueName="[pg].[Rating].[All]" allUniqueName="[pg].[Rating].[All]" dimensionUniqueName="[pg]" displayFolder="" count="2" memberValueDatatype="130" unbalanced="0"/>
    <cacheHierarchy uniqueName="[pg].[Bonus percentage]" caption="Bonus percentage" attribute="1" defaultMemberUniqueName="[pg].[Bonus percentage].[All]" allUniqueName="[pg].[Bonus percentage].[All]" dimensionUniqueName="[pg]" displayFolder="" count="0" memberValueDatatype="5" unbalanced="0"/>
    <cacheHierarchy uniqueName="[pg].[Meet minimun]" caption="Meet minimun" attribute="1" defaultMemberUniqueName="[pg].[Meet minimun].[All]" allUniqueName="[pg].[Meet minimun].[All]" dimensionUniqueName="[pg]" displayFolder="" count="2" memberValueDatatype="130" unbalanced="0"/>
    <cacheHierarchy uniqueName="[Measures].[__XL_Count pg_1]" caption="__XL_Count pg_1" measure="1" displayFolder="" measureGroup="pg" count="0" hidden="1"/>
    <cacheHierarchy uniqueName="[Measures].[__No measures defined]" caption="__No measures defined" measure="1" displayFolder="" count="0" hidden="1"/>
    <cacheHierarchy uniqueName="[Measures].[Sum of S/N]" caption="Sum of S/N" measure="1" displayFolder="" measureGroup="pg" count="0" hidden="1">
      <extLst>
        <ext xmlns:x15="http://schemas.microsoft.com/office/spreadsheetml/2010/11/main" uri="{B97F6D7D-B522-45F9-BDA1-12C45D357490}">
          <x15:cacheHierarchy aggregatedColumn="0"/>
        </ext>
      </extLst>
    </cacheHierarchy>
    <cacheHierarchy uniqueName="[Measures].[Distinct Count of S/N]" caption="Distinct Count of S/N" measure="1" displayFolder="" measureGroup="pg" count="0" hidden="1">
      <extLst>
        <ext xmlns:x15="http://schemas.microsoft.com/office/spreadsheetml/2010/11/main" uri="{B97F6D7D-B522-45F9-BDA1-12C45D357490}">
          <x15:cacheHierarchy aggregatedColumn="0"/>
        </ext>
      </extLst>
    </cacheHierarchy>
    <cacheHierarchy uniqueName="[Measures].[Varp of S/N]" caption="Varp of S/N" measure="1" displayFolder="" measureGroup="pg"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pg" count="0" hidden="1">
      <extLst>
        <ext xmlns:x15="http://schemas.microsoft.com/office/spreadsheetml/2010/11/main" uri="{B97F6D7D-B522-45F9-BDA1-12C45D357490}">
          <x15:cacheHierarchy aggregatedColumn="5"/>
        </ext>
      </extLst>
    </cacheHierarchy>
    <cacheHierarchy uniqueName="[Measures].[Sum of Total salary]" caption="Sum of Total salary" measure="1" displayFolder="" measureGroup="pg" count="0" hidden="1">
      <extLst>
        <ext xmlns:x15="http://schemas.microsoft.com/office/spreadsheetml/2010/11/main" uri="{B97F6D7D-B522-45F9-BDA1-12C45D357490}">
          <x15:cacheHierarchy aggregatedColumn="7"/>
        </ext>
      </extLst>
    </cacheHierarchy>
    <cacheHierarchy uniqueName="[Measures].[Average of Salary]" caption="Average of Salary" measure="1" displayFolder="" measureGroup="pg" count="0" hidden="1">
      <extLst>
        <ext xmlns:x15="http://schemas.microsoft.com/office/spreadsheetml/2010/11/main" uri="{B97F6D7D-B522-45F9-BDA1-12C45D357490}">
          <x15:cacheHierarchy aggregatedColumn="5"/>
        </ext>
      </extLst>
    </cacheHierarchy>
    <cacheHierarchy uniqueName="[Measures].[Average of Total salary]" caption="Average of Total salary" measure="1" displayFolder="" measureGroup="pg" count="0" hidden="1">
      <extLst>
        <ext xmlns:x15="http://schemas.microsoft.com/office/spreadsheetml/2010/11/main" uri="{B97F6D7D-B522-45F9-BDA1-12C45D357490}">
          <x15:cacheHierarchy aggregatedColumn="7"/>
        </ext>
      </extLst>
    </cacheHierarchy>
    <cacheHierarchy uniqueName="[Measures].[Sum of Bonus]" caption="Sum of Bonus" measure="1" displayFolder="" measureGroup="pg" count="0" hidden="1">
      <extLst>
        <ext xmlns:x15="http://schemas.microsoft.com/office/spreadsheetml/2010/11/main" uri="{B97F6D7D-B522-45F9-BDA1-12C45D357490}">
          <x15:cacheHierarchy aggregatedColumn="6"/>
        </ext>
      </extLst>
    </cacheHierarchy>
    <cacheHierarchy uniqueName="[Measures].[Sum of Bonus percentage]" caption="Sum of Bonus percentage" measure="1" displayFolder="" measureGroup="pg" count="0" hidden="1">
      <extLst>
        <ext xmlns:x15="http://schemas.microsoft.com/office/spreadsheetml/2010/11/main" uri="{B97F6D7D-B522-45F9-BDA1-12C45D357490}">
          <x15:cacheHierarchy aggregatedColumn="10"/>
        </ext>
      </extLst>
    </cacheHierarchy>
    <cacheHierarchy uniqueName="[Measures].[Average of Bonus]" caption="Average of Bonus" measure="1" displayFolder="" measureGroup="pg" count="0" hidden="1">
      <extLst>
        <ext xmlns:x15="http://schemas.microsoft.com/office/spreadsheetml/2010/11/main" uri="{B97F6D7D-B522-45F9-BDA1-12C45D357490}">
          <x15:cacheHierarchy aggregatedColumn="6"/>
        </ext>
      </extLst>
    </cacheHierarchy>
    <cacheHierarchy uniqueName="[Measures].[Average of Bonus percentage]" caption="Average of Bonus percentage" measure="1" displayFolder="" measureGroup="pg"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pg"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pg" count="0" hidden="1">
      <extLst>
        <ext xmlns:x15="http://schemas.microsoft.com/office/spreadsheetml/2010/11/main" uri="{B97F6D7D-B522-45F9-BDA1-12C45D357490}">
          <x15:cacheHierarchy aggregatedColumn="8"/>
        </ext>
      </extLst>
    </cacheHierarchy>
    <cacheHierarchy uniqueName="[Measures].[Distinct Count of Department]" caption="Distinct Count of Department" measure="1" displayFolder="" measureGroup="pg" count="0" hidden="1">
      <extLst>
        <ext xmlns:x15="http://schemas.microsoft.com/office/spreadsheetml/2010/11/main" uri="{B97F6D7D-B522-45F9-BDA1-12C45D357490}">
          <x15:cacheHierarchy aggregatedColumn="3"/>
        </ext>
      </extLst>
    </cacheHierarchy>
    <cacheHierarchy uniqueName="[Measures].[Distinct Count of Location]" caption="Distinct Count of Location" measure="1" displayFolder="" measureGroup="pg" count="0" hidden="1">
      <extLst>
        <ext xmlns:x15="http://schemas.microsoft.com/office/spreadsheetml/2010/11/main" uri="{B97F6D7D-B522-45F9-BDA1-12C45D357490}">
          <x15:cacheHierarchy aggregatedColumn="8"/>
        </ext>
      </extLst>
    </cacheHierarchy>
    <cacheHierarchy uniqueName="[Measures].[Max of Salary]" caption="Max of Salary" measure="1" displayFolder="" measureGroup="pg"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778490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47620-62CB-4278-BBA5-35B7F8E92EEF}" name="p7" cacheId="7" applyNumberFormats="0" applyBorderFormats="0" applyFontFormats="0" applyPatternFormats="0" applyAlignmentFormats="0" applyWidthHeightFormats="1" dataCaption="Values" tag="4b0976c1-b199-4593-ad37-3342b2246e80" updatedVersion="8" minRefreshableVersion="3" useAutoFormatting="1" subtotalHiddenItems="1" rowGrandTotals="0" itemPrintTitles="1" createdVersion="5"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Bonus" fld="0" subtotal="average" baseField="0" baseItem="0" numFmtId="164"/>
  </dataFields>
  <formats count="1">
    <format dxfId="0">
      <pivotArea outline="0" collapsedLevelsAreSubtotals="1" fieldPosition="0"/>
    </format>
  </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onus"/>
    <pivotHierarchy dragToData="1" caption="Average of Bonus percentag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B249A8-1384-40CE-BFC3-1E82DE31DAD6}" name="a5" cacheId="5" applyNumberFormats="0" applyBorderFormats="0" applyFontFormats="0" applyPatternFormats="0" applyAlignmentFormats="0" applyWidthHeightFormats="1" dataCaption="Values" tag="c8ed5aac-8050-4e1b-8a89-8010efe2d5d1" updatedVersion="8" minRefreshableVersion="3" useAutoFormatting="1" subtotalHiddenItems="1" itemPrintTitles="1" createdVersion="5" indent="0" outline="1" outlineData="1" multipleFieldFilters="0">
  <location ref="M2:M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Bonus" fld="0"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23BB6A-9F5A-4B65-AD55-A0A42384F7D8}" name="p4" cacheId="6" applyNumberFormats="0" applyBorderFormats="0" applyFontFormats="0" applyPatternFormats="0" applyAlignmentFormats="0" applyWidthHeightFormats="1" dataCaption="Values" tag="92f1fed9-1667-4a1c-97c3-e291792e9ca7" updatedVersion="8" minRefreshableVersion="3" useAutoFormatting="1" subtotalHiddenItems="1" rowGrandTotals="0" itemPrintTitles="1" createdVersion="5"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ary" fld="0" subtotal="average" baseField="0" baseItem="0" numFmtId="164"/>
  </dataFields>
  <formats count="1">
    <format dxfId="1">
      <pivotArea outline="0" collapsedLevelsAreSubtotals="1" fieldPosition="0"/>
    </format>
  </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Sala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A6EE5D-9179-4BC7-90EB-FCE46A065F27}" name="PivotTable18" cacheId="8" applyNumberFormats="0" applyBorderFormats="0" applyFontFormats="0" applyPatternFormats="0" applyAlignmentFormats="0" applyWidthHeightFormats="1" dataCaption="Values" tag="f8a4e9c2-3cec-4a10-b481-9f4913d2bbf3" updatedVersion="8" minRefreshableVersion="3" useAutoFormatting="1" subtotalHiddenItems="1" itemPrintTitles="1" createdVersion="5"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ary" fld="0"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D0A928-57C7-4C8A-8A11-42D0DEC34F5A}" name="PivotTable20" cacheId="10" applyNumberFormats="0" applyBorderFormats="0" applyFontFormats="0" applyPatternFormats="0" applyAlignmentFormats="0" applyWidthHeightFormats="1" dataCaption="Values" tag="2b4bef19-e585-4d56-a93d-4f96305f0529" updatedVersion="8" minRefreshableVersion="3" useAutoFormatting="1" subtotalHiddenItems="1" rowGrandTotals="0" itemPrintTitles="1" createdVersion="5" indent="0" outline="1" outlineData="1" multipleFieldFilters="0" chartFormat="11">
  <location ref="A7:B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Distinct Count of S/N" fld="1" subtotal="count" showDataAs="percentOfCol" baseField="0" baseItem="0" numFmtId="10">
      <extLst>
        <ext xmlns:x15="http://schemas.microsoft.com/office/spreadsheetml/2010/11/main" uri="{FABC7310-3BB5-11E1-824E-6D434824019B}">
          <x15:dataField isCountDistinct="1"/>
        </ext>
      </extLst>
    </dataField>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C1CE9-E01E-43F8-8433-D971D051C8D5}" name="PivotTable19" cacheId="9" applyNumberFormats="0" applyBorderFormats="0" applyFontFormats="0" applyPatternFormats="0" applyAlignmentFormats="0" applyWidthHeightFormats="1" dataCaption="Values" tag="4ef9e1ee-fd34-4fcb-a493-e42ed6539e72" updatedVersion="8" minRefreshableVersion="3" useAutoFormatting="1" subtotalHiddenItems="1" itemPrintTitles="1" createdVersion="5" indent="0" outline="1" outlineData="1" multipleFieldFilters="0">
  <location ref="M7:M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Bonus percentage" fld="0" subtotal="average" baseField="0" baseItem="0" numFmtId="10"/>
  </dataFields>
  <formats count="1">
    <format dxfId="2">
      <pivotArea outline="0" collapsedLevelsAreSubtotals="1" fieldPosition="0"/>
    </format>
  </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onus"/>
    <pivotHierarchy dragToData="1" caption="Average of Bonus percentag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1AAAA2-BB7E-4C52-8194-C941A0E6CADE}" name="a1" cacheId="1" applyNumberFormats="0" applyBorderFormats="0" applyFontFormats="0" applyPatternFormats="0" applyAlignmentFormats="0" applyWidthHeightFormats="1" dataCaption="Values" tag="bccc5920-13d8-47a5-9fe4-1239343c47f8" updatedVersion="8" minRefreshableVersion="3" useAutoFormatting="1" subtotalHiddenItems="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N"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49321E-EF7E-49D3-96DB-DC777B49CC72}" name="a2" cacheId="2" applyNumberFormats="0" applyBorderFormats="0" applyFontFormats="0" applyPatternFormats="0" applyAlignmentFormats="0" applyWidthHeightFormats="1" dataCaption="Values" tag="91c568be-4d51-4253-96b5-93dbb8ffce91" updatedVersion="8" minRefreshableVersion="3" useAutoFormatting="1" subtotalHiddenItems="1" itemPrintTitles="1" createdVersion="5"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Department"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Departmen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E39260-E8BD-485B-8FBC-F1F9CF03E020}" name="a4" cacheId="4" applyNumberFormats="0" applyBorderFormats="0" applyFontFormats="0" applyPatternFormats="0" applyAlignmentFormats="0" applyWidthHeightFormats="1" dataCaption="Values" tag="0f61d95e-50c2-4aef-bdac-980680c4fec8" updatedVersion="8" minRefreshableVersion="3" useAutoFormatting="1" subtotalHiddenItems="1" itemPrintTitles="1" createdVersion="5" indent="0" outline="1" outlineData="1" multipleFieldFilters="0">
  <location ref="J2:J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ary" fld="0"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6262D6-B3FB-4C47-92F5-EC7DCBC2A6B5}" name="a3" cacheId="3" applyNumberFormats="0" applyBorderFormats="0" applyFontFormats="0" applyPatternFormats="0" applyAlignmentFormats="0" applyWidthHeightFormats="1" dataCaption="Values" tag="ca1bdbce-65e9-4804-b984-10d86c757fcc" updatedVersion="8" minRefreshableVersion="3" useAutoFormatting="1" subtotalHiddenItems="1" itemPrintTitles="1" createdVersion="5"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Location" fld="0"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Locatio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93C3B5-E382-4CB3-9DAC-7E1AEE3682DA}" name="pp" cacheId="13" applyNumberFormats="0" applyBorderFormats="0" applyFontFormats="0" applyPatternFormats="0" applyAlignmentFormats="0" applyWidthHeightFormats="1" dataCaption="Values" tag="abd7cfab-bbc7-40bd-bfa3-e821ff6e512c" updatedVersion="8" minRefreshableVersion="3" useAutoFormatting="1" subtotalHiddenItems="1" rowGrandTotals="0" colGrandTotals="0" itemPrintTitles="1" createdVersion="5" indent="0" outline="1" outlineData="1" multipleFieldFilters="0" chartFormat="22">
  <location ref="G16:J29"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1"/>
  </colFields>
  <colItems count="3">
    <i>
      <x/>
    </i>
    <i>
      <x v="1"/>
    </i>
    <i>
      <x v="2"/>
    </i>
  </colItems>
  <dataFields count="1">
    <dataField name="Average of Salary" fld="2" subtotal="average" baseField="0" baseItem="4"/>
  </dataFields>
  <chartFormats count="15">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16" format="2" series="1">
      <pivotArea type="data" outline="0" fieldPosition="0">
        <references count="2">
          <reference field="4294967294" count="1" selected="0">
            <x v="0"/>
          </reference>
          <reference field="1" count="1" selected="0">
            <x v="2"/>
          </reference>
        </references>
      </pivotArea>
    </chartFormat>
    <chartFormat chart="17" format="3" series="1">
      <pivotArea type="data" outline="0" fieldPosition="0">
        <references count="2">
          <reference field="4294967294" count="1" selected="0">
            <x v="0"/>
          </reference>
          <reference field="1" count="1" selected="0">
            <x v="0"/>
          </reference>
        </references>
      </pivotArea>
    </chartFormat>
    <chartFormat chart="17" format="4" series="1">
      <pivotArea type="data" outline="0" fieldPosition="0">
        <references count="2">
          <reference field="4294967294" count="1" selected="0">
            <x v="0"/>
          </reference>
          <reference field="1" count="1" selected="0">
            <x v="1"/>
          </reference>
        </references>
      </pivotArea>
    </chartFormat>
    <chartFormat chart="17" format="5" series="1">
      <pivotArea type="data" outline="0" fieldPosition="0">
        <references count="2">
          <reference field="4294967294" count="1" selected="0">
            <x v="0"/>
          </reference>
          <reference field="1" count="1" selected="0">
            <x v="2"/>
          </reference>
        </references>
      </pivotArea>
    </chartFormat>
    <chartFormat chart="18" format="6" series="1">
      <pivotArea type="data" outline="0" fieldPosition="0">
        <references count="2">
          <reference field="4294967294" count="1" selected="0">
            <x v="0"/>
          </reference>
          <reference field="1" count="1" selected="0">
            <x v="0"/>
          </reference>
        </references>
      </pivotArea>
    </chartFormat>
    <chartFormat chart="18" format="7" series="1">
      <pivotArea type="data" outline="0" fieldPosition="0">
        <references count="2">
          <reference field="4294967294" count="1" selected="0">
            <x v="0"/>
          </reference>
          <reference field="1" count="1" selected="0">
            <x v="1"/>
          </reference>
        </references>
      </pivotArea>
    </chartFormat>
    <chartFormat chart="18" format="8" series="1">
      <pivotArea type="data" outline="0" fieldPosition="0">
        <references count="2">
          <reference field="4294967294" count="1" selected="0">
            <x v="0"/>
          </reference>
          <reference field="1" count="1" selected="0">
            <x v="2"/>
          </reference>
        </references>
      </pivotArea>
    </chartFormat>
    <chartFormat chart="21" format="12" series="1">
      <pivotArea type="data" outline="0" fieldPosition="0">
        <references count="2">
          <reference field="4294967294" count="1" selected="0">
            <x v="0"/>
          </reference>
          <reference field="1" count="1" selected="0">
            <x v="0"/>
          </reference>
        </references>
      </pivotArea>
    </chartFormat>
    <chartFormat chart="21" format="13" series="1">
      <pivotArea type="data" outline="0" fieldPosition="0">
        <references count="2">
          <reference field="4294967294" count="1" selected="0">
            <x v="0"/>
          </reference>
          <reference field="1" count="1" selected="0">
            <x v="1"/>
          </reference>
        </references>
      </pivotArea>
    </chartFormat>
    <chartFormat chart="21" format="14" series="1">
      <pivotArea type="data" outline="0" fieldPosition="0">
        <references count="2">
          <reference field="4294967294" count="1" selected="0">
            <x v="0"/>
          </reference>
          <reference field="1" count="1" selected="0">
            <x v="2"/>
          </reference>
        </references>
      </pivotArea>
    </chartFormat>
    <chartFormat chart="21" format="15"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caption="Varp of S/N"/>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305761-C77D-44FC-ABDD-1FFE689579DE}" name="p2" cacheId="12" applyNumberFormats="0" applyBorderFormats="0" applyFontFormats="0" applyPatternFormats="0" applyAlignmentFormats="0" applyWidthHeightFormats="1" dataCaption="Values" tag="5a87e60b-b4c2-43ef-814a-619e4c73e61a" updatedVersion="8" minRefreshableVersion="3" useAutoFormatting="1" subtotalHiddenItems="1" rowGrandTotals="0" colGrandTotals="0" itemPrintTitles="1" createdVersion="5" indent="0" outline="1" outlineData="1" multipleFieldFilters="0" chartFormat="20">
  <location ref="G3:J10"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1"/>
  </colFields>
  <colItems count="3">
    <i>
      <x/>
    </i>
    <i>
      <x v="1"/>
    </i>
    <i>
      <x v="2"/>
    </i>
  </colItems>
  <dataFields count="1">
    <dataField name="Distinct Count of S/N" fld="2" subtotal="count" baseField="0" baseItem="0">
      <extLst>
        <ext xmlns:x15="http://schemas.microsoft.com/office/spreadsheetml/2010/11/main" uri="{FABC7310-3BB5-11E1-824E-6D434824019B}">
          <x15:dataField isCountDistinct="1"/>
        </ext>
      </extLst>
    </dataField>
  </dataFields>
  <chartFormats count="15">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2" format="9"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4" format="2" series="1">
      <pivotArea type="data" outline="0" fieldPosition="0">
        <references count="2">
          <reference field="4294967294" count="1" selected="0">
            <x v="0"/>
          </reference>
          <reference field="1" count="1" selected="0">
            <x v="2"/>
          </reference>
        </references>
      </pivotArea>
    </chartFormat>
    <chartFormat chart="16" format="6" series="1">
      <pivotArea type="data" outline="0" fieldPosition="0">
        <references count="2">
          <reference field="4294967294" count="1" selected="0">
            <x v="0"/>
          </reference>
          <reference field="1" count="1" selected="0">
            <x v="0"/>
          </reference>
        </references>
      </pivotArea>
    </chartFormat>
    <chartFormat chart="16" format="7" series="1">
      <pivotArea type="data" outline="0" fieldPosition="0">
        <references count="2">
          <reference field="4294967294" count="1" selected="0">
            <x v="0"/>
          </reference>
          <reference field="1" count="1" selected="0">
            <x v="1"/>
          </reference>
        </references>
      </pivotArea>
    </chartFormat>
    <chartFormat chart="16" format="8" series="1">
      <pivotArea type="data" outline="0" fieldPosition="0">
        <references count="2">
          <reference field="4294967294" count="1" selected="0">
            <x v="0"/>
          </reference>
          <reference field="1" count="1" selected="0">
            <x v="2"/>
          </reference>
        </references>
      </pivotArea>
    </chartFormat>
    <chartFormat chart="18" format="12" series="1">
      <pivotArea type="data" outline="0" fieldPosition="0">
        <references count="2">
          <reference field="4294967294" count="1" selected="0">
            <x v="0"/>
          </reference>
          <reference field="1" count="1" selected="0">
            <x v="0"/>
          </reference>
        </references>
      </pivotArea>
    </chartFormat>
    <chartFormat chart="18" format="13" series="1">
      <pivotArea type="data" outline="0" fieldPosition="0">
        <references count="2">
          <reference field="4294967294" count="1" selected="0">
            <x v="0"/>
          </reference>
          <reference field="1" count="1" selected="0">
            <x v="1"/>
          </reference>
        </references>
      </pivotArea>
    </chartFormat>
    <chartFormat chart="18" format="14" series="1">
      <pivotArea type="data" outline="0" fieldPosition="0">
        <references count="2">
          <reference field="4294967294" count="1" selected="0">
            <x v="0"/>
          </reference>
          <reference field="1" count="1" selected="0">
            <x v="2"/>
          </reference>
        </references>
      </pivotArea>
    </chartFormat>
    <chartFormat chart="18" format="15"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E52EF4-3E89-4B62-A76A-D2E10BFB121B}" name="p1-" cacheId="11" applyNumberFormats="0" applyBorderFormats="0" applyFontFormats="0" applyPatternFormats="0" applyAlignmentFormats="0" applyWidthHeightFormats="1" dataCaption="Values" tag="abd7cfab-bbc7-40bd-bfa3-e821ff6e512c" updatedVersion="8" minRefreshableVersion="3" useAutoFormatting="1" subtotalHiddenItems="1" rowGrandTotals="0" colGrandTotals="0" itemPrintTitles="1" createdVersion="5" indent="0" outline="1" outlineData="1" multipleFieldFilters="0" chartFormat="21">
  <location ref="A13:B2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Distinct Count of S/N" fld="1" subtotal="count" baseField="0" baseItem="0">
      <extLst>
        <ext xmlns:x15="http://schemas.microsoft.com/office/spreadsheetml/2010/11/main" uri="{FABC7310-3BB5-11E1-824E-6D434824019B}">
          <x15:dataField isCountDistinct="1"/>
        </ext>
      </extLst>
    </dataField>
  </dataFields>
  <chartFormats count="4">
    <chartFormat chart="8" format="9"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20" format="15"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caption="Varp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210A8F-3BA6-47CF-87FC-4E66CA07FEB8}" name="p1" cacheId="0" applyNumberFormats="0" applyBorderFormats="0" applyFontFormats="0" applyPatternFormats="0" applyAlignmentFormats="0" applyWidthHeightFormats="1" dataCaption="Values" tag="d72ccc1b-15a3-4fa6-b7ff-1abdc996774d" updatedVersion="8" minRefreshableVersion="3" useAutoFormatting="1" subtotalHiddenItems="1" rowGrandTotals="0" colGrandTotals="0" itemPrintTitles="1" createdVersion="5" indent="0" outline="1" outlineData="1" multipleFieldFilters="0" chartFormat="20">
  <location ref="A4:D8"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0"/>
  </colFields>
  <colItems count="3">
    <i>
      <x/>
    </i>
    <i>
      <x v="1"/>
    </i>
    <i>
      <x v="2"/>
    </i>
  </colItems>
  <dataFields count="1">
    <dataField name="Distinct Count of S/N" fld="2" subtotal="count" baseField="1" baseItem="0">
      <extLst>
        <ext xmlns:x15="http://schemas.microsoft.com/office/spreadsheetml/2010/11/main" uri="{FABC7310-3BB5-11E1-824E-6D434824019B}">
          <x15:dataField isCountDistinct="1"/>
        </ext>
      </extLst>
    </dataField>
  </dataFields>
  <chartFormats count="16">
    <chartFormat chart="8" format="6" series="1">
      <pivotArea type="data" outline="0" fieldPosition="0">
        <references count="2">
          <reference field="4294967294" count="1" selected="0">
            <x v="0"/>
          </reference>
          <reference field="0" count="1" selected="0">
            <x v="0"/>
          </reference>
        </references>
      </pivotArea>
    </chartFormat>
    <chartFormat chart="8" format="7"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2"/>
          </reference>
        </references>
      </pivotArea>
    </chartFormat>
    <chartFormat chart="8" format="9" series="1">
      <pivotArea type="data" outline="0" fieldPosition="0">
        <references count="1">
          <reference field="4294967294" count="1" selected="0">
            <x v="0"/>
          </reference>
        </references>
      </pivotArea>
    </chartFormat>
    <chartFormat chart="13" format="13" series="1">
      <pivotArea type="data" outline="0" fieldPosition="0">
        <references count="2">
          <reference field="4294967294" count="1" selected="0">
            <x v="0"/>
          </reference>
          <reference field="0" count="1" selected="0">
            <x v="0"/>
          </reference>
        </references>
      </pivotArea>
    </chartFormat>
    <chartFormat chart="13" format="14" series="1">
      <pivotArea type="data" outline="0" fieldPosition="0">
        <references count="2">
          <reference field="4294967294" count="1" selected="0">
            <x v="0"/>
          </reference>
          <reference field="0" count="1" selected="0">
            <x v="1"/>
          </reference>
        </references>
      </pivotArea>
    </chartFormat>
    <chartFormat chart="13" format="15" series="1">
      <pivotArea type="data" outline="0" fieldPosition="0">
        <references count="2">
          <reference field="4294967294" count="1" selected="0">
            <x v="0"/>
          </reference>
          <reference field="0" count="1" selected="0">
            <x v="2"/>
          </reference>
        </references>
      </pivotArea>
    </chartFormat>
    <chartFormat chart="13" format="16" series="1">
      <pivotArea type="data" outline="0" fieldPosition="0">
        <references count="1">
          <reference field="4294967294" count="1" selected="0">
            <x v="0"/>
          </reference>
        </references>
      </pivotArea>
    </chartFormat>
    <chartFormat chart="17" format="9" series="1">
      <pivotArea type="data" outline="0" fieldPosition="0">
        <references count="2">
          <reference field="4294967294" count="1" selected="0">
            <x v="0"/>
          </reference>
          <reference field="0" count="1" selected="0">
            <x v="0"/>
          </reference>
        </references>
      </pivotArea>
    </chartFormat>
    <chartFormat chart="17" format="10" series="1">
      <pivotArea type="data" outline="0" fieldPosition="0">
        <references count="2">
          <reference field="4294967294" count="1" selected="0">
            <x v="0"/>
          </reference>
          <reference field="0" count="1" selected="0">
            <x v="1"/>
          </reference>
        </references>
      </pivotArea>
    </chartFormat>
    <chartFormat chart="17" format="11" series="1">
      <pivotArea type="data" outline="0" fieldPosition="0">
        <references count="2">
          <reference field="4294967294" count="1" selected="0">
            <x v="0"/>
          </reference>
          <reference field="0" count="1" selected="0">
            <x v="2"/>
          </reference>
        </references>
      </pivotArea>
    </chartFormat>
    <chartFormat chart="19" format="15" series="1">
      <pivotArea type="data" outline="0" fieldPosition="0">
        <references count="2">
          <reference field="4294967294" count="1" selected="0">
            <x v="0"/>
          </reference>
          <reference field="0" count="1" selected="0">
            <x v="0"/>
          </reference>
        </references>
      </pivotArea>
    </chartFormat>
    <chartFormat chart="19" format="16" series="1">
      <pivotArea type="data" outline="0" fieldPosition="0">
        <references count="2">
          <reference field="4294967294" count="1" selected="0">
            <x v="0"/>
          </reference>
          <reference field="0" count="1" selected="0">
            <x v="1"/>
          </reference>
        </references>
      </pivotArea>
    </chartFormat>
    <chartFormat chart="19" format="17" series="1">
      <pivotArea type="data" outline="0" fieldPosition="0">
        <references count="2">
          <reference field="4294967294" count="1" selected="0">
            <x v="0"/>
          </reference>
          <reference field="0" count="1" selected="0">
            <x v="2"/>
          </reference>
        </references>
      </pivotArea>
    </chartFormat>
    <chartFormat chart="19" format="18"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53F4BE-6D3E-477D-A680-79FC98D93455}" name="p5" cacheId="14" applyNumberFormats="0" applyBorderFormats="0" applyFontFormats="0" applyPatternFormats="0" applyAlignmentFormats="0" applyWidthHeightFormats="1" dataCaption="Values" tag="18241561-8c05-492e-918d-798b50210fc9" updatedVersion="8" minRefreshableVersion="3" useAutoFormatting="1" subtotalHiddenItems="1" rowGrandTotals="0" colGrandTotals="0" itemPrintTitles="1" createdVersion="5" indent="0" outline="1" outlineData="1" multipleFieldFilters="0" chartFormat="14">
  <location ref="X1:AA4"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2">
    <i>
      <x/>
    </i>
    <i>
      <x v="1"/>
    </i>
  </rowItems>
  <colFields count="1">
    <field x="1"/>
  </colFields>
  <colItems count="3">
    <i>
      <x/>
    </i>
    <i>
      <x v="1"/>
    </i>
    <i>
      <x v="2"/>
    </i>
  </colItems>
  <dataFields count="1">
    <dataField name="Distinct Count of S/N" fld="2" subtotal="count" baseField="0" baseItem="0">
      <extLst>
        <ext xmlns:x15="http://schemas.microsoft.com/office/spreadsheetml/2010/11/main" uri="{FABC7310-3BB5-11E1-824E-6D434824019B}">
          <x15:dataField isCountDistinct="1"/>
        </ext>
      </extLst>
    </dataField>
  </dataFields>
  <chartFormats count="11">
    <chartFormat chart="2" format="8" series="1">
      <pivotArea type="data" outline="0" fieldPosition="0">
        <references count="1">
          <reference field="1" count="1" selected="0">
            <x v="0"/>
          </reference>
        </references>
      </pivotArea>
    </chartFormat>
    <chartFormat chart="2" format="9" series="1">
      <pivotArea type="data" outline="0" fieldPosition="0">
        <references count="1">
          <reference field="1" count="1" selected="0">
            <x v="1"/>
          </reference>
        </references>
      </pivotArea>
    </chartFormat>
    <chartFormat chart="2" format="10" series="1">
      <pivotArea type="data" outline="0" fieldPosition="0">
        <references count="1">
          <reference field="1" count="1" selected="0">
            <x v="2"/>
          </reference>
        </references>
      </pivotArea>
    </chartFormat>
    <chartFormat chart="2" format="11" series="1">
      <pivotArea type="data" outline="0" fieldPosition="0">
        <references count="2">
          <reference field="4294967294" count="1" selected="0">
            <x v="0"/>
          </reference>
          <reference field="1" count="1" selected="0">
            <x v="0"/>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2"/>
          </reference>
        </references>
      </pivotArea>
    </chartFormat>
    <chartFormat chart="2" format="14" series="1">
      <pivotArea type="data" outline="0" fieldPosition="0">
        <references count="1">
          <reference field="4294967294" count="1" selected="0">
            <x v="0"/>
          </reference>
        </references>
      </pivotArea>
    </chartFormat>
    <chartFormat chart="13" format="18" series="1">
      <pivotArea type="data" outline="0" fieldPosition="0">
        <references count="2">
          <reference field="4294967294" count="1" selected="0">
            <x v="0"/>
          </reference>
          <reference field="1" count="1" selected="0">
            <x v="0"/>
          </reference>
        </references>
      </pivotArea>
    </chartFormat>
    <chartFormat chart="13" format="19" series="1">
      <pivotArea type="data" outline="0" fieldPosition="0">
        <references count="2">
          <reference field="4294967294" count="1" selected="0">
            <x v="0"/>
          </reference>
          <reference field="1" count="1" selected="0">
            <x v="1"/>
          </reference>
        </references>
      </pivotArea>
    </chartFormat>
    <chartFormat chart="13" format="20" series="1">
      <pivotArea type="data" outline="0" fieldPosition="0">
        <references count="2">
          <reference field="4294967294" count="1" selected="0">
            <x v="0"/>
          </reference>
          <reference field="1" count="1" selected="0">
            <x v="2"/>
          </reference>
        </references>
      </pivotArea>
    </chartFormat>
    <chartFormat chart="13" format="21"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27C34C-E3C3-4567-828F-41779AEFDBFA}" name="PivotTable2" cacheId="17" applyNumberFormats="0" applyBorderFormats="0" applyFontFormats="0" applyPatternFormats="0" applyAlignmentFormats="0" applyWidthHeightFormats="1" dataCaption="Values" tag="98cefc1e-9212-44de-93ed-5bd248db7cb6" updatedVersion="8" minRefreshableVersion="3" useAutoFormatting="1" subtotalHiddenItems="1" rowGrandTotals="0" itemPrintTitles="1" createdVersion="5" indent="0" outline="1" outlineData="1" multipleFieldFilters="0">
  <location ref="AD15:AF2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Average of Salary" fld="0" subtotal="average" baseField="0" baseItem="0"/>
    <dataField name="Average of Total salary" fld="1" subtotal="average"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
    <pivotHierarchy dragToData="1" caption="Average of Total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B891D6-A2F7-4B30-A83A-749814D85C18}" name="p6" cacheId="16" applyNumberFormats="0" applyBorderFormats="0" applyFontFormats="0" applyPatternFormats="0" applyAlignmentFormats="0" applyWidthHeightFormats="1" dataCaption="Values" tag="98cefc1e-9212-44de-93ed-5bd248db7cb6" updatedVersion="8" minRefreshableVersion="3" useAutoFormatting="1" subtotalHiddenItems="1" rowGrandTotals="0" itemPrintTitles="1" createdVersion="5" indent="0" outline="1" outlineData="1" multipleFieldFilters="0">
  <location ref="AD3:AF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Average of Salary" fld="1" subtotal="average" baseField="0" baseItem="0"/>
    <dataField name="Average of Total salary" fld="2" subtotal="average" baseField="0" baseItem="0"/>
  </dataField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ary"/>
    <pivotHierarchy dragToData="1" caption="Average of Total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A8E2A94-9A7B-4F91-BB8E-BC0783C10E23}" name="p3" cacheId="15" applyNumberFormats="0" applyBorderFormats="0" applyFontFormats="0" applyPatternFormats="0" applyAlignmentFormats="0" applyWidthHeightFormats="1" dataCaption="Values" tag="92f6a77c-f004-4b18-88cd-81742d6f8337" updatedVersion="8" minRefreshableVersion="3" useAutoFormatting="1" subtotalHiddenItems="1" rowGrandTotals="0" colGrandTotals="0" itemPrintTitles="1" createdVersion="5" indent="0" outline="1" outlineData="1" multipleFieldFilters="0" chartFormat="27">
  <location ref="X14:AA20" firstHeaderRow="1" firstDataRow="2" firstDataCol="1"/>
  <pivotFields count="4">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1"/>
  </colFields>
  <colItems count="3">
    <i>
      <x/>
    </i>
    <i>
      <x v="1"/>
    </i>
    <i>
      <x v="2"/>
    </i>
  </colItems>
  <dataFields count="1">
    <dataField name="Distinct Count of S/N" fld="2" subtotal="count" baseField="0" baseItem="0">
      <extLst>
        <ext xmlns:x15="http://schemas.microsoft.com/office/spreadsheetml/2010/11/main" uri="{FABC7310-3BB5-11E1-824E-6D434824019B}">
          <x15:dataField isCountDistinct="1"/>
        </ext>
      </extLst>
    </dataField>
  </dataFields>
  <chartFormats count="12">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3">
          <reference field="4294967294" count="1" selected="0">
            <x v="0"/>
          </reference>
          <reference field="0" count="1" selected="0">
            <x v="0"/>
          </reference>
          <reference field="1" count="1" selected="0">
            <x v="2"/>
          </reference>
        </references>
      </pivotArea>
    </chartFormat>
    <chartFormat chart="10" format="11">
      <pivotArea type="data" outline="0" fieldPosition="0">
        <references count="3">
          <reference field="4294967294" count="1" selected="0">
            <x v="0"/>
          </reference>
          <reference field="0" count="1" selected="0">
            <x v="3"/>
          </reference>
          <reference field="1" count="1" selected="0">
            <x v="2"/>
          </reference>
        </references>
      </pivotArea>
    </chartFormat>
    <chartFormat chart="26" format="17" series="1">
      <pivotArea type="data" outline="0" fieldPosition="0">
        <references count="2">
          <reference field="4294967294" count="1" selected="0">
            <x v="0"/>
          </reference>
          <reference field="1" count="1" selected="0">
            <x v="0"/>
          </reference>
        </references>
      </pivotArea>
    </chartFormat>
    <chartFormat chart="26" format="18" series="1">
      <pivotArea type="data" outline="0" fieldPosition="0">
        <references count="2">
          <reference field="4294967294" count="1" selected="0">
            <x v="0"/>
          </reference>
          <reference field="1" count="1" selected="0">
            <x v="1"/>
          </reference>
        </references>
      </pivotArea>
    </chartFormat>
    <chartFormat chart="26" format="19" series="1">
      <pivotArea type="data" outline="0" fieldPosition="0">
        <references count="2">
          <reference field="4294967294" count="1" selected="0">
            <x v="0"/>
          </reference>
          <reference field="1" count="1" selected="0">
            <x v="2"/>
          </reference>
        </references>
      </pivotArea>
    </chartFormat>
    <chartFormat chart="26" format="20">
      <pivotArea type="data" outline="0" fieldPosition="0">
        <references count="3">
          <reference field="4294967294" count="1" selected="0">
            <x v="0"/>
          </reference>
          <reference field="0" count="1" selected="0">
            <x v="0"/>
          </reference>
          <reference field="1" count="1" selected="0">
            <x v="2"/>
          </reference>
        </references>
      </pivotArea>
    </chartFormat>
    <chartFormat chart="26" format="21">
      <pivotArea type="data" outline="0" fieldPosition="0">
        <references count="3">
          <reference field="4294967294" count="1" selected="0">
            <x v="0"/>
          </reference>
          <reference field="0" count="1" selected="0">
            <x v="3"/>
          </reference>
          <reference field="1" count="1" selected="0">
            <x v="2"/>
          </reference>
        </references>
      </pivotArea>
    </chartFormat>
    <chartFormat chart="26" format="22" series="1">
      <pivotArea type="data" outline="0" fieldPosition="0">
        <references count="1">
          <reference field="4294967294" count="1" selected="0">
            <x v="0"/>
          </reference>
        </references>
      </pivotArea>
    </chartFormat>
  </chartFormats>
  <pivotHierarchies count="3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S/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
      <autoFilter ref="A1">
        <filterColumn colId="0">
          <top10 val="5" filterVal="5"/>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6B787D-6348-4A14-90DD-BB11DD320FF6}" autoFormatId="16" applyNumberFormats="0" applyBorderFormats="0" applyFontFormats="0" applyPatternFormats="0" applyAlignmentFormats="0" applyWidthHeightFormats="0">
  <queryTableRefresh nextId="14" unboundColumnsRight="1">
    <queryTableFields count="12">
      <queryTableField id="1" name="S/N" tableColumnId="1"/>
      <queryTableField id="2" name="Name" tableColumnId="2"/>
      <queryTableField id="3" name="Gender" tableColumnId="3"/>
      <queryTableField id="4" name="Department" tableColumnId="4"/>
      <queryTableField id="12" dataBound="0" tableColumnId="5"/>
      <queryTableField id="6" name="Salary" tableColumnId="6"/>
      <queryTableField id="7" name="Bonus" tableColumnId="7"/>
      <queryTableField id="8" name="Total salary" tableColumnId="8"/>
      <queryTableField id="9" name="Location" tableColumnId="9"/>
      <queryTableField id="10" name="Rating" tableColumnId="10"/>
      <queryTableField id="11" name="Bonus percentage" tableColumnId="11"/>
      <queryTableField id="13" dataBound="0" tableColumnId="13"/>
    </queryTableFields>
    <queryTableDeletedFields count="1">
      <deletedField name="Salary Catego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D248A4-3252-42F3-B1E8-C6BE607091A2}" sourceName="[pg].[Department]">
  <pivotTables>
    <pivotTable tabId="10" name="a1"/>
    <pivotTable tabId="10" name="a2"/>
    <pivotTable tabId="10" name="a3"/>
    <pivotTable tabId="10" name="a4"/>
    <pivotTable tabId="10" name="a5"/>
    <pivotTable tabId="10" name="PivotTable18"/>
    <pivotTable tabId="10" name="PivotTable19"/>
    <pivotTable tabId="10" name="PivotTable20"/>
    <pivotTable tabId="4" name="p1"/>
    <pivotTable tabId="4" name="p1-"/>
    <pivotTable tabId="4" name="p2"/>
    <pivotTable tabId="10" name="p4"/>
    <pivotTable tabId="10" name="p7"/>
    <pivotTable tabId="4" name="pp"/>
    <pivotTable tabId="16" name="p5"/>
    <pivotTable tabId="16" name="p3"/>
    <pivotTable tabId="16" name="p6"/>
    <pivotTable tabId="16" name="PivotTable2"/>
  </pivotTables>
  <data>
    <olap pivotCacheId="977849037">
      <levels count="2">
        <level uniqueName="[pg].[Department].[(All)]" sourceCaption="(All)" count="0"/>
        <level uniqueName="[pg].[Department].[Department]" sourceCaption="Department" count="12">
          <ranges>
            <range startItem="0">
              <i n="[pg].[Department].&amp;[Accounting]" c="Accounting"/>
              <i n="[pg].[Department].&amp;[Business Development]" c="Business Development"/>
              <i n="[pg].[Department].&amp;[Engineering]" c="Engineering"/>
              <i n="[pg].[Department].&amp;[Human Resources]" c="Human Resources"/>
              <i n="[pg].[Department].&amp;[Legal]" c="Legal"/>
              <i n="[pg].[Department].&amp;[Marketing]" c="Marketing"/>
              <i n="[pg].[Department].&amp;[Product Management]" c="Product Management"/>
              <i n="[pg].[Department].&amp;[Research and Development]" c="Research and Development"/>
              <i n="[pg].[Department].&amp;[Sales]" c="Sales"/>
              <i n="[pg].[Department].&amp;[Services]" c="Services"/>
              <i n="[pg].[Department].&amp;[Support]" c="Support"/>
              <i n="[pg].[Department].&amp;[Training]" c="Training"/>
            </range>
          </ranges>
        </level>
      </levels>
      <selections count="1">
        <selection n="[pg].[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EB13885-6194-4632-8509-D269B872BFB8}" sourceName="[pg].[Location]">
  <pivotTables>
    <pivotTable tabId="10" name="a1"/>
    <pivotTable tabId="10" name="a2"/>
    <pivotTable tabId="10" name="a3"/>
    <pivotTable tabId="10" name="a4"/>
    <pivotTable tabId="10" name="a5"/>
    <pivotTable tabId="10" name="PivotTable18"/>
    <pivotTable tabId="10" name="PivotTable19"/>
    <pivotTable tabId="10" name="PivotTable20"/>
    <pivotTable tabId="4" name="p1"/>
    <pivotTable tabId="4" name="p1-"/>
    <pivotTable tabId="4" name="p2"/>
    <pivotTable tabId="10" name="p4"/>
    <pivotTable tabId="10" name="p7"/>
    <pivotTable tabId="4" name="pp"/>
    <pivotTable tabId="16" name="p5"/>
    <pivotTable tabId="16" name="p3"/>
    <pivotTable tabId="16" name="p6"/>
    <pivotTable tabId="16" name="PivotTable2"/>
  </pivotTables>
  <data>
    <olap pivotCacheId="977849037">
      <levels count="2">
        <level uniqueName="[pg].[Location].[(All)]" sourceCaption="(All)" count="0"/>
        <level uniqueName="[pg].[Location].[Location]" sourceCaption="Location" count="3">
          <ranges>
            <range startItem="0">
              <i n="[pg].[Location].&amp;[Abuja]" c="Abuja"/>
              <i n="[pg].[Location].&amp;[Kaduna]" c="Kaduna"/>
              <i n="[pg].[Location].&amp;[Lagos]" c="Lagos"/>
            </range>
          </ranges>
        </level>
      </levels>
      <selections count="1">
        <selection n="[pg].[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D70381C5-4AD6-46B0-BFC8-CCB69B2AEAB6}" sourceName="[pg].[Rating]">
  <pivotTables>
    <pivotTable tabId="10" name="a1"/>
    <pivotTable tabId="10" name="a2"/>
    <pivotTable tabId="10" name="a3"/>
    <pivotTable tabId="10" name="a4"/>
    <pivotTable tabId="10" name="a5"/>
    <pivotTable tabId="10" name="PivotTable18"/>
    <pivotTable tabId="10" name="PivotTable19"/>
    <pivotTable tabId="10" name="PivotTable20"/>
    <pivotTable tabId="4" name="p1"/>
    <pivotTable tabId="4" name="p1-"/>
    <pivotTable tabId="4" name="p2"/>
    <pivotTable tabId="10" name="p4"/>
    <pivotTable tabId="10" name="p7"/>
    <pivotTable tabId="4" name="pp"/>
    <pivotTable tabId="16" name="p5"/>
    <pivotTable tabId="16" name="p3"/>
    <pivotTable tabId="16" name="p6"/>
    <pivotTable tabId="16" name="PivotTable2"/>
  </pivotTables>
  <data>
    <olap pivotCacheId="977849037">
      <levels count="2">
        <level uniqueName="[pg].[Rating].[(All)]" sourceCaption="(All)" count="0"/>
        <level uniqueName="[pg].[Rating].[Rating]" sourceCaption="Rating" count="6">
          <ranges>
            <range startItem="0">
              <i n="[pg].[Rating].&amp;[Average]" c="Average"/>
              <i n="[pg].[Rating].&amp;[Good]" c="Good"/>
              <i n="[pg].[Rating].&amp;[Not Rated]" c="Not Rated"/>
              <i n="[pg].[Rating].&amp;[Poor]" c="Poor"/>
              <i n="[pg].[Rating].&amp;[Very Good]" c="Very Good"/>
              <i n="[pg].[Rating].&amp;[Very Poor]" c="Very Poor"/>
            </range>
          </ranges>
        </level>
      </levels>
      <selections count="1">
        <selection n="[pg].[Ratin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448DDA-2564-4C97-AA57-47A6D4AA4734}" sourceName="[pg].[Gender]">
  <pivotTables>
    <pivotTable tabId="10" name="a1"/>
    <pivotTable tabId="10" name="a2"/>
    <pivotTable tabId="10" name="a3"/>
    <pivotTable tabId="10" name="a4"/>
    <pivotTable tabId="10" name="a5"/>
    <pivotTable tabId="10" name="PivotTable18"/>
    <pivotTable tabId="10" name="PivotTable19"/>
    <pivotTable tabId="10" name="PivotTable20"/>
    <pivotTable tabId="4" name="p1"/>
    <pivotTable tabId="4" name="p1-"/>
    <pivotTable tabId="4" name="p2"/>
    <pivotTable tabId="10" name="p4"/>
    <pivotTable tabId="10" name="p7"/>
    <pivotTable tabId="4" name="pp"/>
    <pivotTable tabId="16" name="p5"/>
    <pivotTable tabId="16" name="p3"/>
    <pivotTable tabId="16" name="p6"/>
    <pivotTable tabId="16" name="PivotTable2"/>
  </pivotTables>
  <data>
    <olap pivotCacheId="977849037">
      <levels count="2">
        <level uniqueName="[pg].[Gender].[(All)]" sourceCaption="(All)" count="0"/>
        <level uniqueName="[pg].[Gender].[Gender]" sourceCaption="Gender" count="3">
          <ranges>
            <range startItem="0">
              <i n="[pg].[Gender].&amp;[Female]" c="Female"/>
              <i n="[pg].[Gender].&amp;[Male]" c="Male"/>
              <i n="[pg].[Gender].&amp;[Others]" c="Others"/>
            </range>
          </ranges>
        </level>
      </levels>
      <selections count="1">
        <selection n="[pg].[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_minimun" xr10:uid="{5E3D6378-0C79-4A1C-9E0B-7A25BA4157BD}" sourceName="[pg].[Meet minimun]">
  <pivotTables>
    <pivotTable tabId="4" name="p1"/>
    <pivotTable tabId="10" name="a1"/>
    <pivotTable tabId="10" name="a2"/>
    <pivotTable tabId="10" name="a3"/>
    <pivotTable tabId="10" name="a4"/>
    <pivotTable tabId="10" name="a5"/>
    <pivotTable tabId="10" name="p4"/>
    <pivotTable tabId="10" name="p7"/>
    <pivotTable tabId="10" name="PivotTable18"/>
    <pivotTable tabId="10" name="PivotTable19"/>
    <pivotTable tabId="10" name="PivotTable20"/>
    <pivotTable tabId="4" name="p1-"/>
    <pivotTable tabId="4" name="p2"/>
    <pivotTable tabId="4" name="pp"/>
    <pivotTable tabId="16" name="p5"/>
    <pivotTable tabId="16" name="p3"/>
    <pivotTable tabId="16" name="p6"/>
    <pivotTable tabId="16" name="PivotTable2"/>
  </pivotTables>
  <data>
    <olap pivotCacheId="977849037">
      <levels count="2">
        <level uniqueName="[pg].[Meet minimun].[(All)]" sourceCaption="(All)" count="0"/>
        <level uniqueName="[pg].[Meet minimun].[Meet minimun]" sourceCaption="Meet minimun" count="2">
          <ranges>
            <range startItem="0">
              <i n="[pg].[Meet minimun].&amp;[Met minimum]" c="Met minimum"/>
              <i n="[pg].[Meet minimun].&amp;[Not met minimum]" c="Not met minimum"/>
            </range>
          </ranges>
        </level>
      </levels>
      <selections count="1">
        <selection n="[pg].[Meet minimu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3" xr10:uid="{0FB378BE-FACA-401C-BFF4-92E01B1F6450}" cache="Slicer_Location" caption="Location" columnCount="2" showCaption="0" level="1" style="Slicer Style 1" rowHeight="225425"/>
  <slicer name="Rating 4" xr10:uid="{BD1203FB-5FD4-4327-8749-F48D0E7EF4EB}" cache="Slicer_Rating" caption="Ratings" columnCount="2" showCaption="0" level="1" style="Slicer Style 1" rowHeight="225425"/>
  <slicer name="Gender 3" xr10:uid="{4834BE1E-4CCD-4C0E-AB19-62411AE3EACE}" cache="Slicer_Gender" caption="Gender" columnCount="2" showCaption="0" level="1" style="Slicer Style 1" rowHeight="225425"/>
  <slicer name="Meet minimun 1" xr10:uid="{E916A459-07F8-442A-AE68-9F5BA7DBCD7F}" cache="Slicer_Meet_minimun" caption="Meet minimun" showCaption="0" level="1" style="Slicer Style 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F09EF30-94C4-4788-AD0C-66FF93922CA9}" cache="Slicer_Department" caption="Department" level="1" style="Slicer Style 1" rowHeight="225425"/>
  <slicer name="Location" xr10:uid="{80B54D06-D9ED-4356-BE1D-1745631B36EA}" cache="Slicer_Location" caption="Location" level="1" style="Slicer Style 1" rowHeight="225425"/>
  <slicer name="Rating" xr10:uid="{A6B2A197-E75A-46D4-8160-C206425F0243}" cache="Slicer_Rating" caption="Rating" level="1" style="Slicer Style 1" rowHeight="225425"/>
  <slicer name="Gender" xr10:uid="{FECB10CE-B5B0-45C2-9463-F795A5C63A53}" cache="Slicer_Gender" caption="Gender" showCaption="0" level="1" style="Slicer Style 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BF4E5427-CB06-49A0-B43D-9B513654E35A}" cache="Slicer_Department" caption="Department" level="1" style="SlicerStyleLight4 2" rowHeight="225425"/>
  <slicer name="Location 1" xr10:uid="{79274438-8026-4662-AAAF-D07E4D9A4B14}" cache="Slicer_Location" caption="Location" level="1" style="SlicerStyleLight4 2" rowHeight="225425"/>
  <slicer name="Rating 1" xr10:uid="{2149EFF2-B554-46B9-9B23-1EEEEB95642B}" cache="Slicer_Rating" caption="Rating" level="1" style="SlicerStyleLight4 2" rowHeight="225425"/>
  <slicer name="Gender 1" xr10:uid="{34456D72-69D6-4444-9984-181A6A4367E0}" cache="Slicer_Gender" caption="Gender" showCaption="0" level="1" style="SlicerStyleLight4 2" rowHeight="22542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D03252-E3E9-4983-9000-6A1AC92F2C8A}" name="b" displayName="b" ref="A1:F13" totalsRowShown="0" headerRowDxfId="21" dataDxfId="20">
  <tableColumns count="6">
    <tableColumn id="1" xr3:uid="{2962D627-38CD-4766-9AC7-EC263F9F069B}" name="Department"/>
    <tableColumn id="2" xr3:uid="{465441A0-8E24-4592-A752-59A7F498ACCB}" name="Very Poor" dataDxfId="19"/>
    <tableColumn id="3" xr3:uid="{99DBEFC2-ACDF-4522-8E1E-A63221B87F73}" name="Poor" dataDxfId="18"/>
    <tableColumn id="4" xr3:uid="{A43E55B8-F0B6-4ECA-BF78-D74D60A24E47}" name="Average" dataDxfId="17"/>
    <tableColumn id="5" xr3:uid="{83A8E272-0727-45E4-8C00-D9C7B49DD32D}" name="Good" dataDxfId="16"/>
    <tableColumn id="6" xr3:uid="{5EA88023-0C35-4FD5-8279-887D8761BFF9}" name="Very Good"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7A0C01-6355-40CD-ADF1-22BC3297EDF5}" name="pg_1" displayName="pg_1" ref="A1:L875" tableType="queryTable" totalsRowShown="0">
  <autoFilter ref="A1:L875" xr:uid="{C87A0C01-6355-40CD-ADF1-22BC3297EDF5}"/>
  <tableColumns count="12">
    <tableColumn id="1" xr3:uid="{1808330C-F73C-4278-96E3-B3185AFC81E4}" uniqueName="1" name="S/N" queryTableFieldId="1" dataDxfId="14"/>
    <tableColumn id="2" xr3:uid="{64C76248-7DCE-4857-B84A-E5EF486BF6EA}" uniqueName="2" name="Name" queryTableFieldId="2" dataDxfId="13"/>
    <tableColumn id="3" xr3:uid="{6A70A055-7600-41E9-B780-3C505CFDFB34}" uniqueName="3" name="Gender" queryTableFieldId="3" dataDxfId="12"/>
    <tableColumn id="4" xr3:uid="{BF41AB0F-2FA1-4260-9DA9-736948A72E43}" uniqueName="4" name="Department" queryTableFieldId="4" dataDxfId="11"/>
    <tableColumn id="5" xr3:uid="{36DF7FBE-9397-4505-A775-FD6127602515}" uniqueName="5" name="Salary Category" queryTableFieldId="12" dataDxfId="10"/>
    <tableColumn id="6" xr3:uid="{6A7E2475-8046-4CB5-A60B-F11C884010B1}" uniqueName="6" name="Salary" queryTableFieldId="6" dataDxfId="9"/>
    <tableColumn id="7" xr3:uid="{5E97ED1C-E8E2-4082-8F6D-C86124450B5A}" uniqueName="7" name="Bonus" queryTableFieldId="7" dataDxfId="8"/>
    <tableColumn id="8" xr3:uid="{99B425BF-E0D0-4364-AC47-B4F6A386EA6A}" uniqueName="8" name="Total salary" queryTableFieldId="8" dataDxfId="7"/>
    <tableColumn id="9" xr3:uid="{DF0D0E4D-C90E-4D9C-9CAF-63B16033215F}" uniqueName="9" name="Location" queryTableFieldId="9" dataDxfId="6"/>
    <tableColumn id="10" xr3:uid="{43B2F015-89EE-4593-8109-3F8490D5AD3C}" uniqueName="10" name="Rating" queryTableFieldId="10" dataDxfId="5"/>
    <tableColumn id="11" xr3:uid="{2377B278-9BE2-490F-AC3A-EA5E5192A3B6}" uniqueName="11" name="Bonus percentage" queryTableFieldId="11" dataDxfId="4" dataCellStyle="Percent"/>
    <tableColumn id="13" xr3:uid="{EE1E57F6-04DC-4524-9DB2-E85F129DDCF5}" uniqueName="13" name="Meet minimun" queryTableFieldId="13" dataDxfId="3">
      <calculatedColumnFormula>IF(pg_1[[#This Row],[Salary]]&gt;=90000, "Met minimum", "Not met minimum")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drawing" Target="../drawings/drawing2.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98CF-B39D-45A7-8A45-FD8FE60CCEFA}">
  <sheetPr>
    <tabColor rgb="FFFF0000"/>
  </sheetPr>
  <dimension ref="A1:F1016"/>
  <sheetViews>
    <sheetView workbookViewId="0">
      <selection activeCell="L13" sqref="L13"/>
    </sheetView>
  </sheetViews>
  <sheetFormatPr defaultRowHeight="15" x14ac:dyDescent="0.25"/>
  <cols>
    <col min="1" max="1" width="24.140625" bestFit="1" customWidth="1"/>
    <col min="2" max="2" width="10.140625" customWidth="1"/>
    <col min="3" max="3" width="24.7109375" bestFit="1" customWidth="1"/>
    <col min="4" max="4" width="8.7109375" customWidth="1"/>
    <col min="5" max="5" width="11.28515625" customWidth="1"/>
    <col min="7" max="7" width="8.85546875" bestFit="1" customWidth="1"/>
    <col min="9" max="9" width="10.28515625" bestFit="1" customWidth="1"/>
  </cols>
  <sheetData>
    <row r="1" spans="1:6" x14ac:dyDescent="0.25">
      <c r="A1" t="s">
        <v>0</v>
      </c>
      <c r="B1" t="s">
        <v>1</v>
      </c>
      <c r="C1" t="s">
        <v>2</v>
      </c>
      <c r="D1" t="s">
        <v>3</v>
      </c>
      <c r="E1" t="s">
        <v>4</v>
      </c>
      <c r="F1" t="s">
        <v>5</v>
      </c>
    </row>
    <row r="2" spans="1:6" x14ac:dyDescent="0.25">
      <c r="A2" t="s">
        <v>6</v>
      </c>
      <c r="B2" t="s">
        <v>7</v>
      </c>
      <c r="C2" t="s">
        <v>8</v>
      </c>
      <c r="D2">
        <v>88050</v>
      </c>
      <c r="E2" t="s">
        <v>9</v>
      </c>
      <c r="F2" t="s">
        <v>10</v>
      </c>
    </row>
    <row r="3" spans="1:6" x14ac:dyDescent="0.25">
      <c r="A3" t="s">
        <v>11</v>
      </c>
      <c r="B3" t="s">
        <v>12</v>
      </c>
      <c r="C3" t="s">
        <v>13</v>
      </c>
      <c r="D3">
        <v>68220</v>
      </c>
      <c r="E3" t="s">
        <v>9</v>
      </c>
      <c r="F3" t="s">
        <v>14</v>
      </c>
    </row>
    <row r="4" spans="1:6" x14ac:dyDescent="0.25">
      <c r="A4" t="s">
        <v>15</v>
      </c>
      <c r="B4" t="s">
        <v>12</v>
      </c>
      <c r="C4" t="s">
        <v>16</v>
      </c>
      <c r="D4">
        <v>118440</v>
      </c>
      <c r="E4" t="s">
        <v>17</v>
      </c>
      <c r="F4" t="s">
        <v>18</v>
      </c>
    </row>
    <row r="5" spans="1:6" x14ac:dyDescent="0.25">
      <c r="A5" t="s">
        <v>19</v>
      </c>
      <c r="C5" t="s">
        <v>20</v>
      </c>
      <c r="D5">
        <v>56370</v>
      </c>
      <c r="E5" t="s">
        <v>21</v>
      </c>
      <c r="F5" t="s">
        <v>10</v>
      </c>
    </row>
    <row r="6" spans="1:6" x14ac:dyDescent="0.25">
      <c r="A6" t="s">
        <v>22</v>
      </c>
      <c r="B6" t="s">
        <v>12</v>
      </c>
      <c r="C6" t="s">
        <v>23</v>
      </c>
      <c r="D6">
        <v>107090</v>
      </c>
      <c r="E6" t="s">
        <v>21</v>
      </c>
      <c r="F6" t="s">
        <v>24</v>
      </c>
    </row>
    <row r="7" spans="1:6" x14ac:dyDescent="0.25">
      <c r="A7" t="s">
        <v>25</v>
      </c>
      <c r="B7" t="s">
        <v>7</v>
      </c>
      <c r="C7" t="s">
        <v>23</v>
      </c>
      <c r="D7">
        <v>108450</v>
      </c>
      <c r="E7" t="s">
        <v>17</v>
      </c>
      <c r="F7" t="s">
        <v>24</v>
      </c>
    </row>
    <row r="8" spans="1:6" x14ac:dyDescent="0.25">
      <c r="A8" t="s">
        <v>26</v>
      </c>
      <c r="B8" t="s">
        <v>12</v>
      </c>
      <c r="C8" t="s">
        <v>27</v>
      </c>
      <c r="D8">
        <v>41160</v>
      </c>
      <c r="E8" t="s">
        <v>9</v>
      </c>
      <c r="F8" t="s">
        <v>28</v>
      </c>
    </row>
    <row r="9" spans="1:6" x14ac:dyDescent="0.25">
      <c r="A9" t="s">
        <v>29</v>
      </c>
      <c r="B9" t="s">
        <v>7</v>
      </c>
      <c r="C9" t="s">
        <v>20</v>
      </c>
      <c r="D9">
        <v>109000</v>
      </c>
      <c r="E9" t="s">
        <v>17</v>
      </c>
      <c r="F9" t="s">
        <v>10</v>
      </c>
    </row>
    <row r="10" spans="1:6" x14ac:dyDescent="0.25">
      <c r="A10" t="s">
        <v>30</v>
      </c>
      <c r="C10" t="s">
        <v>31</v>
      </c>
      <c r="E10" t="s">
        <v>17</v>
      </c>
      <c r="F10" t="s">
        <v>28</v>
      </c>
    </row>
    <row r="11" spans="1:6" x14ac:dyDescent="0.25">
      <c r="A11" t="s">
        <v>32</v>
      </c>
      <c r="B11" t="s">
        <v>12</v>
      </c>
      <c r="C11" t="s">
        <v>23</v>
      </c>
      <c r="D11">
        <v>43020</v>
      </c>
      <c r="E11" t="s">
        <v>21</v>
      </c>
      <c r="F11" t="s">
        <v>28</v>
      </c>
    </row>
    <row r="12" spans="1:6" x14ac:dyDescent="0.25">
      <c r="A12" t="s">
        <v>33</v>
      </c>
      <c r="B12" t="s">
        <v>7</v>
      </c>
      <c r="C12" t="s">
        <v>34</v>
      </c>
      <c r="D12">
        <v>37800</v>
      </c>
      <c r="E12" t="s">
        <v>9</v>
      </c>
      <c r="F12" t="s">
        <v>28</v>
      </c>
    </row>
    <row r="13" spans="1:6" x14ac:dyDescent="0.25">
      <c r="A13" t="s">
        <v>35</v>
      </c>
      <c r="B13" t="s">
        <v>7</v>
      </c>
      <c r="C13" t="s">
        <v>8</v>
      </c>
      <c r="D13">
        <v>88380</v>
      </c>
      <c r="E13" t="s">
        <v>21</v>
      </c>
      <c r="F13" t="s">
        <v>28</v>
      </c>
    </row>
    <row r="14" spans="1:6" x14ac:dyDescent="0.25">
      <c r="A14" t="s">
        <v>36</v>
      </c>
      <c r="B14" t="s">
        <v>12</v>
      </c>
      <c r="C14" t="s">
        <v>37</v>
      </c>
      <c r="D14">
        <v>84420</v>
      </c>
      <c r="E14" t="s">
        <v>17</v>
      </c>
      <c r="F14" t="s">
        <v>28</v>
      </c>
    </row>
    <row r="15" spans="1:6" x14ac:dyDescent="0.25">
      <c r="A15" t="s">
        <v>38</v>
      </c>
      <c r="B15" t="s">
        <v>12</v>
      </c>
      <c r="C15" t="s">
        <v>20</v>
      </c>
      <c r="D15">
        <v>101760</v>
      </c>
      <c r="E15" t="s">
        <v>17</v>
      </c>
      <c r="F15" t="s">
        <v>14</v>
      </c>
    </row>
    <row r="16" spans="1:6" x14ac:dyDescent="0.25">
      <c r="A16" t="s">
        <v>39</v>
      </c>
      <c r="B16" t="s">
        <v>7</v>
      </c>
      <c r="C16" t="s">
        <v>8</v>
      </c>
      <c r="D16">
        <v>110780</v>
      </c>
      <c r="E16" t="s">
        <v>17</v>
      </c>
      <c r="F16" t="s">
        <v>24</v>
      </c>
    </row>
    <row r="17" spans="1:6" x14ac:dyDescent="0.25">
      <c r="A17" t="s">
        <v>40</v>
      </c>
      <c r="B17" t="s">
        <v>7</v>
      </c>
      <c r="C17" t="s">
        <v>27</v>
      </c>
      <c r="D17">
        <v>68430</v>
      </c>
      <c r="E17" t="s">
        <v>17</v>
      </c>
      <c r="F17" t="s">
        <v>14</v>
      </c>
    </row>
    <row r="18" spans="1:6" x14ac:dyDescent="0.25">
      <c r="A18" t="s">
        <v>41</v>
      </c>
      <c r="B18" t="s">
        <v>12</v>
      </c>
      <c r="C18" t="s">
        <v>42</v>
      </c>
      <c r="D18">
        <v>105370</v>
      </c>
      <c r="E18" t="s">
        <v>21</v>
      </c>
      <c r="F18" t="s">
        <v>14</v>
      </c>
    </row>
    <row r="19" spans="1:6" x14ac:dyDescent="0.25">
      <c r="A19" t="s">
        <v>43</v>
      </c>
      <c r="B19" t="s">
        <v>7</v>
      </c>
      <c r="C19" t="s">
        <v>13</v>
      </c>
      <c r="D19">
        <v>113800</v>
      </c>
      <c r="E19" t="s">
        <v>9</v>
      </c>
      <c r="F19" t="s">
        <v>28</v>
      </c>
    </row>
    <row r="20" spans="1:6" x14ac:dyDescent="0.25">
      <c r="A20" t="s">
        <v>44</v>
      </c>
      <c r="B20" t="s">
        <v>12</v>
      </c>
      <c r="C20" t="s">
        <v>8</v>
      </c>
      <c r="D20">
        <v>76300</v>
      </c>
      <c r="E20" t="s">
        <v>21</v>
      </c>
      <c r="F20" t="s">
        <v>28</v>
      </c>
    </row>
    <row r="21" spans="1:6" x14ac:dyDescent="0.25">
      <c r="A21" t="s">
        <v>45</v>
      </c>
      <c r="B21" t="s">
        <v>12</v>
      </c>
      <c r="C21" t="s">
        <v>8</v>
      </c>
      <c r="D21">
        <v>44530</v>
      </c>
      <c r="E21" t="s">
        <v>21</v>
      </c>
      <c r="F21" t="s">
        <v>28</v>
      </c>
    </row>
    <row r="22" spans="1:6" x14ac:dyDescent="0.25">
      <c r="A22" t="s">
        <v>46</v>
      </c>
      <c r="B22" t="s">
        <v>12</v>
      </c>
      <c r="C22" t="s">
        <v>20</v>
      </c>
      <c r="D22">
        <v>63710</v>
      </c>
      <c r="E22" t="s">
        <v>9</v>
      </c>
      <c r="F22" t="s">
        <v>28</v>
      </c>
    </row>
    <row r="23" spans="1:6" x14ac:dyDescent="0.25">
      <c r="A23" t="s">
        <v>47</v>
      </c>
      <c r="B23" t="s">
        <v>12</v>
      </c>
      <c r="C23" t="s">
        <v>37</v>
      </c>
      <c r="D23">
        <v>62780</v>
      </c>
      <c r="E23" t="s">
        <v>17</v>
      </c>
      <c r="F23" t="s">
        <v>10</v>
      </c>
    </row>
    <row r="24" spans="1:6" x14ac:dyDescent="0.25">
      <c r="A24" t="s">
        <v>48</v>
      </c>
      <c r="B24" t="s">
        <v>12</v>
      </c>
      <c r="C24" t="s">
        <v>42</v>
      </c>
      <c r="D24">
        <v>119750</v>
      </c>
      <c r="E24" t="s">
        <v>9</v>
      </c>
      <c r="F24" t="s">
        <v>28</v>
      </c>
    </row>
    <row r="25" spans="1:6" x14ac:dyDescent="0.25">
      <c r="A25" t="s">
        <v>49</v>
      </c>
      <c r="B25" t="s">
        <v>7</v>
      </c>
      <c r="C25" t="s">
        <v>50</v>
      </c>
      <c r="D25">
        <v>116980</v>
      </c>
      <c r="E25" t="s">
        <v>21</v>
      </c>
      <c r="F25" t="s">
        <v>51</v>
      </c>
    </row>
    <row r="26" spans="1:6" x14ac:dyDescent="0.25">
      <c r="A26" t="s">
        <v>52</v>
      </c>
      <c r="B26" t="s">
        <v>7</v>
      </c>
      <c r="C26" t="s">
        <v>53</v>
      </c>
      <c r="D26">
        <v>35940</v>
      </c>
      <c r="E26" t="s">
        <v>17</v>
      </c>
      <c r="F26" t="s">
        <v>14</v>
      </c>
    </row>
    <row r="27" spans="1:6" x14ac:dyDescent="0.25">
      <c r="A27" t="s">
        <v>54</v>
      </c>
      <c r="B27" t="s">
        <v>7</v>
      </c>
      <c r="C27" t="s">
        <v>31</v>
      </c>
      <c r="D27">
        <v>109040</v>
      </c>
      <c r="E27" t="s">
        <v>9</v>
      </c>
      <c r="F27" t="s">
        <v>28</v>
      </c>
    </row>
    <row r="28" spans="1:6" x14ac:dyDescent="0.25">
      <c r="A28" t="s">
        <v>55</v>
      </c>
      <c r="B28" t="s">
        <v>12</v>
      </c>
      <c r="C28" t="s">
        <v>31</v>
      </c>
      <c r="D28">
        <v>109160</v>
      </c>
      <c r="E28" t="s">
        <v>21</v>
      </c>
      <c r="F28" t="s">
        <v>14</v>
      </c>
    </row>
    <row r="29" spans="1:6" x14ac:dyDescent="0.25">
      <c r="A29" t="s">
        <v>56</v>
      </c>
      <c r="B29" t="s">
        <v>7</v>
      </c>
      <c r="C29" t="s">
        <v>27</v>
      </c>
      <c r="D29">
        <v>75540</v>
      </c>
      <c r="E29" t="s">
        <v>17</v>
      </c>
      <c r="F29" t="s">
        <v>28</v>
      </c>
    </row>
    <row r="30" spans="1:6" x14ac:dyDescent="0.25">
      <c r="A30" t="s">
        <v>57</v>
      </c>
      <c r="B30" t="s">
        <v>12</v>
      </c>
      <c r="C30" t="s">
        <v>13</v>
      </c>
      <c r="D30">
        <v>30000</v>
      </c>
      <c r="E30" t="s">
        <v>21</v>
      </c>
      <c r="F30" t="s">
        <v>28</v>
      </c>
    </row>
    <row r="31" spans="1:6" x14ac:dyDescent="0.25">
      <c r="A31" t="s">
        <v>58</v>
      </c>
      <c r="B31" t="s">
        <v>12</v>
      </c>
      <c r="C31" t="s">
        <v>8</v>
      </c>
      <c r="D31">
        <v>76210</v>
      </c>
      <c r="E31" t="s">
        <v>17</v>
      </c>
      <c r="F31" t="s">
        <v>14</v>
      </c>
    </row>
    <row r="32" spans="1:6" x14ac:dyDescent="0.25">
      <c r="A32" t="s">
        <v>59</v>
      </c>
      <c r="B32" t="s">
        <v>7</v>
      </c>
      <c r="C32" t="s">
        <v>16</v>
      </c>
      <c r="D32">
        <v>112650</v>
      </c>
      <c r="E32" t="s">
        <v>9</v>
      </c>
      <c r="F32" t="s">
        <v>28</v>
      </c>
    </row>
    <row r="33" spans="1:6" x14ac:dyDescent="0.25">
      <c r="A33" t="s">
        <v>60</v>
      </c>
      <c r="B33" t="s">
        <v>7</v>
      </c>
      <c r="C33" t="s">
        <v>20</v>
      </c>
      <c r="D33">
        <v>108460</v>
      </c>
      <c r="E33" t="s">
        <v>21</v>
      </c>
      <c r="F33" t="s">
        <v>14</v>
      </c>
    </row>
    <row r="34" spans="1:6" x14ac:dyDescent="0.25">
      <c r="A34" t="s">
        <v>61</v>
      </c>
      <c r="B34" t="s">
        <v>7</v>
      </c>
      <c r="C34" t="s">
        <v>50</v>
      </c>
      <c r="D34">
        <v>69070</v>
      </c>
      <c r="E34" t="s">
        <v>21</v>
      </c>
      <c r="F34" t="s">
        <v>24</v>
      </c>
    </row>
    <row r="35" spans="1:6" x14ac:dyDescent="0.25">
      <c r="A35" t="s">
        <v>62</v>
      </c>
      <c r="B35" t="s">
        <v>12</v>
      </c>
      <c r="C35" t="s">
        <v>34</v>
      </c>
      <c r="D35">
        <v>116520</v>
      </c>
      <c r="E35" t="s">
        <v>9</v>
      </c>
      <c r="F35" t="s">
        <v>14</v>
      </c>
    </row>
    <row r="36" spans="1:6" x14ac:dyDescent="0.25">
      <c r="A36" t="s">
        <v>63</v>
      </c>
      <c r="B36" t="s">
        <v>12</v>
      </c>
      <c r="C36" t="s">
        <v>50</v>
      </c>
      <c r="D36">
        <v>96560</v>
      </c>
      <c r="E36" t="s">
        <v>21</v>
      </c>
      <c r="F36" t="s">
        <v>18</v>
      </c>
    </row>
    <row r="37" spans="1:6" x14ac:dyDescent="0.25">
      <c r="A37" t="s">
        <v>64</v>
      </c>
      <c r="B37" t="s">
        <v>12</v>
      </c>
      <c r="C37" t="s">
        <v>27</v>
      </c>
      <c r="D37">
        <v>36460</v>
      </c>
      <c r="E37" t="s">
        <v>17</v>
      </c>
      <c r="F37" t="s">
        <v>14</v>
      </c>
    </row>
    <row r="38" spans="1:6" x14ac:dyDescent="0.25">
      <c r="A38" t="s">
        <v>65</v>
      </c>
      <c r="B38" t="s">
        <v>12</v>
      </c>
      <c r="C38" t="s">
        <v>42</v>
      </c>
      <c r="D38">
        <v>50950</v>
      </c>
      <c r="E38" t="s">
        <v>21</v>
      </c>
      <c r="F38" t="s">
        <v>14</v>
      </c>
    </row>
    <row r="39" spans="1:6" x14ac:dyDescent="0.25">
      <c r="A39" t="s">
        <v>66</v>
      </c>
      <c r="B39" t="s">
        <v>12</v>
      </c>
      <c r="C39" t="s">
        <v>67</v>
      </c>
      <c r="D39">
        <v>75440</v>
      </c>
      <c r="E39" t="s">
        <v>9</v>
      </c>
      <c r="F39" t="s">
        <v>28</v>
      </c>
    </row>
    <row r="40" spans="1:6" x14ac:dyDescent="0.25">
      <c r="A40" t="s">
        <v>68</v>
      </c>
      <c r="B40" t="s">
        <v>12</v>
      </c>
      <c r="C40" t="s">
        <v>8</v>
      </c>
      <c r="D40">
        <v>84760</v>
      </c>
      <c r="E40" t="s">
        <v>21</v>
      </c>
      <c r="F40" t="s">
        <v>28</v>
      </c>
    </row>
    <row r="41" spans="1:6" x14ac:dyDescent="0.25">
      <c r="A41" t="s">
        <v>69</v>
      </c>
      <c r="B41" t="s">
        <v>7</v>
      </c>
      <c r="C41" t="s">
        <v>13</v>
      </c>
      <c r="D41">
        <v>82240</v>
      </c>
      <c r="E41" t="s">
        <v>21</v>
      </c>
      <c r="F41" t="s">
        <v>24</v>
      </c>
    </row>
    <row r="42" spans="1:6" x14ac:dyDescent="0.25">
      <c r="A42" t="s">
        <v>70</v>
      </c>
      <c r="B42" t="s">
        <v>7</v>
      </c>
      <c r="C42" t="s">
        <v>27</v>
      </c>
      <c r="D42">
        <v>28330</v>
      </c>
      <c r="E42" t="s">
        <v>9</v>
      </c>
      <c r="F42" t="s">
        <v>51</v>
      </c>
    </row>
    <row r="43" spans="1:6" x14ac:dyDescent="0.25">
      <c r="A43" t="s">
        <v>71</v>
      </c>
      <c r="B43" t="s">
        <v>12</v>
      </c>
      <c r="C43" t="s">
        <v>27</v>
      </c>
      <c r="D43">
        <v>60580</v>
      </c>
      <c r="E43" t="s">
        <v>9</v>
      </c>
      <c r="F43" t="s">
        <v>10</v>
      </c>
    </row>
    <row r="44" spans="1:6" x14ac:dyDescent="0.25">
      <c r="A44" t="s">
        <v>72</v>
      </c>
      <c r="B44" t="s">
        <v>7</v>
      </c>
      <c r="C44" t="s">
        <v>23</v>
      </c>
      <c r="D44">
        <v>45510</v>
      </c>
      <c r="E44" t="s">
        <v>21</v>
      </c>
      <c r="F44" t="s">
        <v>10</v>
      </c>
    </row>
    <row r="45" spans="1:6" x14ac:dyDescent="0.25">
      <c r="A45" t="s">
        <v>73</v>
      </c>
      <c r="B45" t="s">
        <v>12</v>
      </c>
      <c r="C45" t="s">
        <v>27</v>
      </c>
      <c r="D45">
        <v>110770</v>
      </c>
      <c r="E45" t="s">
        <v>17</v>
      </c>
      <c r="F45" t="s">
        <v>14</v>
      </c>
    </row>
    <row r="46" spans="1:6" x14ac:dyDescent="0.25">
      <c r="A46" t="s">
        <v>74</v>
      </c>
      <c r="B46" t="s">
        <v>12</v>
      </c>
      <c r="C46" t="s">
        <v>37</v>
      </c>
      <c r="D46">
        <v>86920</v>
      </c>
      <c r="E46" t="s">
        <v>17</v>
      </c>
      <c r="F46" t="s">
        <v>28</v>
      </c>
    </row>
    <row r="47" spans="1:6" x14ac:dyDescent="0.25">
      <c r="A47" t="s">
        <v>75</v>
      </c>
      <c r="C47" t="s">
        <v>42</v>
      </c>
      <c r="D47">
        <v>84680</v>
      </c>
      <c r="E47" t="s">
        <v>9</v>
      </c>
      <c r="F47" t="s">
        <v>14</v>
      </c>
    </row>
    <row r="48" spans="1:6" x14ac:dyDescent="0.25">
      <c r="A48" t="s">
        <v>76</v>
      </c>
      <c r="B48" t="s">
        <v>12</v>
      </c>
      <c r="C48" t="s">
        <v>50</v>
      </c>
      <c r="D48">
        <v>36860</v>
      </c>
      <c r="E48" t="s">
        <v>9</v>
      </c>
      <c r="F48" t="s">
        <v>24</v>
      </c>
    </row>
    <row r="49" spans="1:6" x14ac:dyDescent="0.25">
      <c r="A49" t="s">
        <v>77</v>
      </c>
      <c r="C49" t="s">
        <v>8</v>
      </c>
      <c r="D49">
        <v>114010</v>
      </c>
      <c r="E49" t="s">
        <v>21</v>
      </c>
      <c r="F49" t="s">
        <v>28</v>
      </c>
    </row>
    <row r="50" spans="1:6" x14ac:dyDescent="0.25">
      <c r="A50" t="s">
        <v>78</v>
      </c>
      <c r="C50" t="s">
        <v>31</v>
      </c>
      <c r="D50">
        <v>54130</v>
      </c>
      <c r="E50" t="s">
        <v>21</v>
      </c>
      <c r="F50" t="s">
        <v>51</v>
      </c>
    </row>
    <row r="51" spans="1:6" x14ac:dyDescent="0.25">
      <c r="A51" t="s">
        <v>79</v>
      </c>
      <c r="B51" t="s">
        <v>12</v>
      </c>
      <c r="C51" t="s">
        <v>37</v>
      </c>
      <c r="D51">
        <v>81720</v>
      </c>
      <c r="E51" t="s">
        <v>17</v>
      </c>
      <c r="F51" t="s">
        <v>10</v>
      </c>
    </row>
    <row r="52" spans="1:6" x14ac:dyDescent="0.25">
      <c r="A52" t="s">
        <v>80</v>
      </c>
      <c r="B52" t="s">
        <v>7</v>
      </c>
      <c r="C52" t="s">
        <v>27</v>
      </c>
      <c r="D52">
        <v>84470</v>
      </c>
      <c r="E52" t="s">
        <v>9</v>
      </c>
      <c r="F52" t="s">
        <v>28</v>
      </c>
    </row>
    <row r="53" spans="1:6" x14ac:dyDescent="0.25">
      <c r="A53" t="s">
        <v>81</v>
      </c>
      <c r="B53" t="s">
        <v>12</v>
      </c>
      <c r="C53" t="s">
        <v>67</v>
      </c>
      <c r="D53">
        <v>114600</v>
      </c>
      <c r="E53" t="s">
        <v>9</v>
      </c>
      <c r="F53" t="s">
        <v>14</v>
      </c>
    </row>
    <row r="54" spans="1:6" x14ac:dyDescent="0.25">
      <c r="A54" t="s">
        <v>82</v>
      </c>
      <c r="B54" t="s">
        <v>7</v>
      </c>
      <c r="C54" t="s">
        <v>42</v>
      </c>
      <c r="D54">
        <v>114690</v>
      </c>
      <c r="E54" t="s">
        <v>9</v>
      </c>
      <c r="F54" t="s">
        <v>51</v>
      </c>
    </row>
    <row r="55" spans="1:6" x14ac:dyDescent="0.25">
      <c r="A55" t="s">
        <v>83</v>
      </c>
      <c r="B55" t="s">
        <v>7</v>
      </c>
      <c r="C55" t="s">
        <v>13</v>
      </c>
      <c r="D55">
        <v>57350</v>
      </c>
      <c r="E55" t="s">
        <v>21</v>
      </c>
      <c r="F55" t="s">
        <v>14</v>
      </c>
    </row>
    <row r="56" spans="1:6" x14ac:dyDescent="0.25">
      <c r="A56" t="s">
        <v>84</v>
      </c>
      <c r="B56" t="s">
        <v>12</v>
      </c>
      <c r="C56" t="s">
        <v>53</v>
      </c>
      <c r="D56">
        <v>51200</v>
      </c>
      <c r="E56" t="s">
        <v>21</v>
      </c>
      <c r="F56" t="s">
        <v>24</v>
      </c>
    </row>
    <row r="57" spans="1:6" x14ac:dyDescent="0.25">
      <c r="A57" t="s">
        <v>85</v>
      </c>
      <c r="B57" t="s">
        <v>12</v>
      </c>
      <c r="C57" t="s">
        <v>27</v>
      </c>
      <c r="D57">
        <v>85260</v>
      </c>
      <c r="E57" t="s">
        <v>9</v>
      </c>
      <c r="F57" t="s">
        <v>24</v>
      </c>
    </row>
    <row r="58" spans="1:6" x14ac:dyDescent="0.25">
      <c r="A58" t="s">
        <v>86</v>
      </c>
      <c r="B58" t="s">
        <v>12</v>
      </c>
      <c r="C58" t="s">
        <v>31</v>
      </c>
      <c r="D58">
        <v>71230</v>
      </c>
      <c r="E58" t="s">
        <v>21</v>
      </c>
      <c r="F58" t="s">
        <v>51</v>
      </c>
    </row>
    <row r="59" spans="1:6" x14ac:dyDescent="0.25">
      <c r="A59" t="s">
        <v>87</v>
      </c>
      <c r="B59" t="s">
        <v>12</v>
      </c>
      <c r="C59" t="s">
        <v>37</v>
      </c>
      <c r="D59">
        <v>107660</v>
      </c>
      <c r="E59" t="s">
        <v>17</v>
      </c>
      <c r="F59" t="s">
        <v>14</v>
      </c>
    </row>
    <row r="60" spans="1:6" x14ac:dyDescent="0.25">
      <c r="A60" t="s">
        <v>88</v>
      </c>
      <c r="B60" t="s">
        <v>12</v>
      </c>
      <c r="C60" t="s">
        <v>13</v>
      </c>
      <c r="D60">
        <v>75230</v>
      </c>
      <c r="E60" t="s">
        <v>21</v>
      </c>
      <c r="F60" t="s">
        <v>24</v>
      </c>
    </row>
    <row r="61" spans="1:6" x14ac:dyDescent="0.25">
      <c r="A61" t="s">
        <v>89</v>
      </c>
      <c r="B61" t="s">
        <v>12</v>
      </c>
      <c r="C61" t="s">
        <v>67</v>
      </c>
      <c r="D61">
        <v>108080</v>
      </c>
      <c r="E61" t="s">
        <v>17</v>
      </c>
      <c r="F61" t="s">
        <v>28</v>
      </c>
    </row>
    <row r="62" spans="1:6" x14ac:dyDescent="0.25">
      <c r="A62" t="s">
        <v>90</v>
      </c>
      <c r="B62" t="s">
        <v>7</v>
      </c>
      <c r="C62" t="s">
        <v>20</v>
      </c>
      <c r="D62">
        <v>28480</v>
      </c>
      <c r="E62" t="s">
        <v>21</v>
      </c>
      <c r="F62" t="s">
        <v>14</v>
      </c>
    </row>
    <row r="63" spans="1:6" x14ac:dyDescent="0.25">
      <c r="A63" t="s">
        <v>91</v>
      </c>
      <c r="B63" t="s">
        <v>7</v>
      </c>
      <c r="C63" t="s">
        <v>23</v>
      </c>
      <c r="D63">
        <v>56620</v>
      </c>
      <c r="E63" t="s">
        <v>17</v>
      </c>
      <c r="F63" t="s">
        <v>28</v>
      </c>
    </row>
    <row r="64" spans="1:6" x14ac:dyDescent="0.25">
      <c r="A64" t="s">
        <v>92</v>
      </c>
      <c r="B64" t="s">
        <v>7</v>
      </c>
      <c r="C64" t="s">
        <v>16</v>
      </c>
      <c r="D64">
        <v>87900</v>
      </c>
      <c r="E64" t="s">
        <v>21</v>
      </c>
      <c r="F64" t="s">
        <v>28</v>
      </c>
    </row>
    <row r="65" spans="1:6" x14ac:dyDescent="0.25">
      <c r="A65" t="s">
        <v>93</v>
      </c>
      <c r="B65" t="s">
        <v>7</v>
      </c>
      <c r="C65" t="s">
        <v>8</v>
      </c>
      <c r="D65">
        <v>103550</v>
      </c>
      <c r="E65" t="s">
        <v>17</v>
      </c>
      <c r="F65" t="s">
        <v>28</v>
      </c>
    </row>
    <row r="66" spans="1:6" x14ac:dyDescent="0.25">
      <c r="A66" t="s">
        <v>94</v>
      </c>
      <c r="B66" t="s">
        <v>12</v>
      </c>
      <c r="C66" t="s">
        <v>34</v>
      </c>
      <c r="D66">
        <v>78500</v>
      </c>
      <c r="E66" t="s">
        <v>21</v>
      </c>
      <c r="F66" t="s">
        <v>10</v>
      </c>
    </row>
    <row r="67" spans="1:6" x14ac:dyDescent="0.25">
      <c r="A67" t="s">
        <v>95</v>
      </c>
      <c r="B67" t="s">
        <v>7</v>
      </c>
      <c r="C67" t="s">
        <v>20</v>
      </c>
      <c r="D67">
        <v>93930</v>
      </c>
      <c r="E67" t="s">
        <v>21</v>
      </c>
      <c r="F67" t="s">
        <v>14</v>
      </c>
    </row>
    <row r="68" spans="1:6" x14ac:dyDescent="0.25">
      <c r="A68" t="s">
        <v>96</v>
      </c>
      <c r="B68" t="s">
        <v>12</v>
      </c>
      <c r="C68" t="s">
        <v>16</v>
      </c>
      <c r="D68">
        <v>114770</v>
      </c>
      <c r="E68" t="s">
        <v>17</v>
      </c>
      <c r="F68" t="s">
        <v>28</v>
      </c>
    </row>
    <row r="69" spans="1:6" x14ac:dyDescent="0.25">
      <c r="A69" t="s">
        <v>97</v>
      </c>
      <c r="B69" t="s">
        <v>7</v>
      </c>
      <c r="C69" t="s">
        <v>16</v>
      </c>
      <c r="D69">
        <v>73530</v>
      </c>
      <c r="E69" t="s">
        <v>9</v>
      </c>
      <c r="F69" t="s">
        <v>28</v>
      </c>
    </row>
    <row r="70" spans="1:6" x14ac:dyDescent="0.25">
      <c r="A70" t="s">
        <v>98</v>
      </c>
      <c r="B70" t="s">
        <v>7</v>
      </c>
      <c r="C70" t="s">
        <v>42</v>
      </c>
      <c r="D70">
        <v>55310</v>
      </c>
      <c r="E70" t="s">
        <v>21</v>
      </c>
      <c r="F70" t="s">
        <v>51</v>
      </c>
    </row>
    <row r="71" spans="1:6" x14ac:dyDescent="0.25">
      <c r="A71" t="s">
        <v>99</v>
      </c>
      <c r="B71" t="s">
        <v>7</v>
      </c>
      <c r="C71" t="s">
        <v>50</v>
      </c>
      <c r="D71">
        <v>49670</v>
      </c>
      <c r="E71" t="s">
        <v>17</v>
      </c>
      <c r="F71" t="s">
        <v>24</v>
      </c>
    </row>
    <row r="72" spans="1:6" x14ac:dyDescent="0.25">
      <c r="A72" t="s">
        <v>100</v>
      </c>
      <c r="B72" t="s">
        <v>12</v>
      </c>
      <c r="C72" t="s">
        <v>23</v>
      </c>
      <c r="E72" t="s">
        <v>17</v>
      </c>
      <c r="F72" t="s">
        <v>14</v>
      </c>
    </row>
    <row r="73" spans="1:6" x14ac:dyDescent="0.25">
      <c r="A73" t="s">
        <v>101</v>
      </c>
      <c r="B73" t="s">
        <v>7</v>
      </c>
      <c r="C73" t="s">
        <v>37</v>
      </c>
      <c r="D73">
        <v>40770</v>
      </c>
      <c r="E73" t="s">
        <v>17</v>
      </c>
      <c r="F73" t="s">
        <v>28</v>
      </c>
    </row>
    <row r="74" spans="1:6" x14ac:dyDescent="0.25">
      <c r="A74" t="s">
        <v>102</v>
      </c>
      <c r="B74" t="s">
        <v>7</v>
      </c>
      <c r="C74" t="s">
        <v>37</v>
      </c>
      <c r="D74">
        <v>106780</v>
      </c>
      <c r="E74" t="s">
        <v>21</v>
      </c>
      <c r="F74" t="s">
        <v>24</v>
      </c>
    </row>
    <row r="75" spans="1:6" x14ac:dyDescent="0.25">
      <c r="A75" t="s">
        <v>103</v>
      </c>
      <c r="B75" t="s">
        <v>12</v>
      </c>
      <c r="C75" t="s">
        <v>27</v>
      </c>
      <c r="D75">
        <v>100730</v>
      </c>
      <c r="E75" t="s">
        <v>21</v>
      </c>
      <c r="F75" t="s">
        <v>28</v>
      </c>
    </row>
    <row r="76" spans="1:6" x14ac:dyDescent="0.25">
      <c r="A76" t="s">
        <v>104</v>
      </c>
      <c r="C76" t="s">
        <v>31</v>
      </c>
      <c r="D76">
        <v>74620</v>
      </c>
      <c r="E76" t="s">
        <v>21</v>
      </c>
      <c r="F76" t="s">
        <v>24</v>
      </c>
    </row>
    <row r="77" spans="1:6" x14ac:dyDescent="0.25">
      <c r="A77" t="s">
        <v>105</v>
      </c>
      <c r="B77" t="s">
        <v>7</v>
      </c>
      <c r="C77" t="s">
        <v>37</v>
      </c>
      <c r="D77">
        <v>40450</v>
      </c>
      <c r="E77" t="s">
        <v>21</v>
      </c>
      <c r="F77" t="s">
        <v>28</v>
      </c>
    </row>
    <row r="78" spans="1:6" x14ac:dyDescent="0.25">
      <c r="A78" t="s">
        <v>106</v>
      </c>
      <c r="B78" t="s">
        <v>7</v>
      </c>
      <c r="C78" t="s">
        <v>31</v>
      </c>
      <c r="D78">
        <v>60560</v>
      </c>
      <c r="E78" t="s">
        <v>17</v>
      </c>
      <c r="F78" t="s">
        <v>28</v>
      </c>
    </row>
    <row r="79" spans="1:6" x14ac:dyDescent="0.25">
      <c r="A79" t="s">
        <v>107</v>
      </c>
      <c r="B79" t="s">
        <v>7</v>
      </c>
      <c r="C79" t="s">
        <v>20</v>
      </c>
      <c r="D79">
        <v>114900</v>
      </c>
      <c r="E79" t="s">
        <v>21</v>
      </c>
      <c r="F79" t="s">
        <v>28</v>
      </c>
    </row>
    <row r="80" spans="1:6" x14ac:dyDescent="0.25">
      <c r="A80" t="s">
        <v>108</v>
      </c>
      <c r="B80" t="s">
        <v>7</v>
      </c>
      <c r="C80" t="s">
        <v>27</v>
      </c>
      <c r="D80">
        <v>69860</v>
      </c>
      <c r="E80" t="s">
        <v>21</v>
      </c>
      <c r="F80" t="s">
        <v>28</v>
      </c>
    </row>
    <row r="81" spans="1:6" x14ac:dyDescent="0.25">
      <c r="A81" t="s">
        <v>109</v>
      </c>
      <c r="B81" t="s">
        <v>12</v>
      </c>
      <c r="C81" t="s">
        <v>31</v>
      </c>
      <c r="D81">
        <v>51320</v>
      </c>
      <c r="E81" t="s">
        <v>21</v>
      </c>
      <c r="F81" t="s">
        <v>51</v>
      </c>
    </row>
    <row r="82" spans="1:6" x14ac:dyDescent="0.25">
      <c r="A82" t="s">
        <v>110</v>
      </c>
      <c r="B82" t="s">
        <v>7</v>
      </c>
      <c r="C82" t="s">
        <v>42</v>
      </c>
      <c r="D82">
        <v>103600</v>
      </c>
      <c r="E82" t="s">
        <v>9</v>
      </c>
      <c r="F82" t="s">
        <v>14</v>
      </c>
    </row>
    <row r="83" spans="1:6" x14ac:dyDescent="0.25">
      <c r="A83" t="s">
        <v>111</v>
      </c>
      <c r="B83" t="s">
        <v>7</v>
      </c>
      <c r="C83" t="s">
        <v>67</v>
      </c>
      <c r="D83">
        <v>53540</v>
      </c>
      <c r="E83" t="s">
        <v>21</v>
      </c>
      <c r="F83" t="s">
        <v>24</v>
      </c>
    </row>
    <row r="84" spans="1:6" x14ac:dyDescent="0.25">
      <c r="A84" t="s">
        <v>112</v>
      </c>
      <c r="B84" t="s">
        <v>12</v>
      </c>
      <c r="C84" t="s">
        <v>8</v>
      </c>
      <c r="D84">
        <v>98740</v>
      </c>
      <c r="E84" t="s">
        <v>17</v>
      </c>
      <c r="F84" t="s">
        <v>24</v>
      </c>
    </row>
    <row r="85" spans="1:6" x14ac:dyDescent="0.25">
      <c r="A85" t="s">
        <v>113</v>
      </c>
      <c r="B85" t="s">
        <v>7</v>
      </c>
      <c r="C85" t="s">
        <v>23</v>
      </c>
      <c r="D85">
        <v>115090</v>
      </c>
      <c r="E85" t="s">
        <v>21</v>
      </c>
      <c r="F85" t="s">
        <v>28</v>
      </c>
    </row>
    <row r="86" spans="1:6" x14ac:dyDescent="0.25">
      <c r="A86" t="s">
        <v>114</v>
      </c>
      <c r="B86" t="s">
        <v>7</v>
      </c>
      <c r="C86" t="s">
        <v>67</v>
      </c>
      <c r="D86">
        <v>51910</v>
      </c>
      <c r="E86" t="s">
        <v>21</v>
      </c>
      <c r="F86" t="s">
        <v>14</v>
      </c>
    </row>
    <row r="87" spans="1:6" x14ac:dyDescent="0.25">
      <c r="A87" t="s">
        <v>115</v>
      </c>
      <c r="B87" t="s">
        <v>7</v>
      </c>
      <c r="C87" t="s">
        <v>53</v>
      </c>
      <c r="D87">
        <v>34080</v>
      </c>
      <c r="E87" t="s">
        <v>21</v>
      </c>
      <c r="F87" t="s">
        <v>18</v>
      </c>
    </row>
    <row r="88" spans="1:6" x14ac:dyDescent="0.25">
      <c r="A88" t="s">
        <v>116</v>
      </c>
      <c r="B88" t="s">
        <v>7</v>
      </c>
      <c r="C88" t="s">
        <v>31</v>
      </c>
      <c r="D88">
        <v>88690</v>
      </c>
      <c r="E88" t="s">
        <v>9</v>
      </c>
      <c r="F88" t="s">
        <v>24</v>
      </c>
    </row>
    <row r="89" spans="1:6" x14ac:dyDescent="0.25">
      <c r="A89" t="s">
        <v>117</v>
      </c>
      <c r="B89" t="s">
        <v>12</v>
      </c>
      <c r="C89" t="s">
        <v>27</v>
      </c>
      <c r="D89">
        <v>35940</v>
      </c>
      <c r="E89" t="s">
        <v>21</v>
      </c>
      <c r="F89" t="s">
        <v>28</v>
      </c>
    </row>
    <row r="90" spans="1:6" x14ac:dyDescent="0.25">
      <c r="A90" t="s">
        <v>118</v>
      </c>
      <c r="B90" t="s">
        <v>7</v>
      </c>
      <c r="C90" t="s">
        <v>20</v>
      </c>
      <c r="D90">
        <v>109190</v>
      </c>
      <c r="E90" t="s">
        <v>17</v>
      </c>
      <c r="F90" t="s">
        <v>28</v>
      </c>
    </row>
    <row r="91" spans="1:6" x14ac:dyDescent="0.25">
      <c r="A91" t="s">
        <v>119</v>
      </c>
      <c r="B91" t="s">
        <v>7</v>
      </c>
      <c r="C91" t="s">
        <v>67</v>
      </c>
      <c r="D91">
        <v>89610</v>
      </c>
      <c r="E91" t="s">
        <v>9</v>
      </c>
      <c r="F91" t="s">
        <v>14</v>
      </c>
    </row>
    <row r="92" spans="1:6" x14ac:dyDescent="0.25">
      <c r="A92" t="s">
        <v>120</v>
      </c>
      <c r="B92" t="s">
        <v>12</v>
      </c>
      <c r="C92" t="s">
        <v>23</v>
      </c>
      <c r="D92">
        <v>109760</v>
      </c>
      <c r="E92" t="s">
        <v>17</v>
      </c>
      <c r="F92" t="s">
        <v>14</v>
      </c>
    </row>
    <row r="93" spans="1:6" x14ac:dyDescent="0.25">
      <c r="A93" t="s">
        <v>121</v>
      </c>
      <c r="B93" t="s">
        <v>12</v>
      </c>
      <c r="C93" t="s">
        <v>67</v>
      </c>
      <c r="D93">
        <v>108390</v>
      </c>
      <c r="E93" t="s">
        <v>9</v>
      </c>
      <c r="F93" t="s">
        <v>24</v>
      </c>
    </row>
    <row r="94" spans="1:6" x14ac:dyDescent="0.25">
      <c r="A94" t="s">
        <v>122</v>
      </c>
      <c r="B94" t="s">
        <v>7</v>
      </c>
      <c r="C94" t="s">
        <v>50</v>
      </c>
      <c r="D94">
        <v>29880</v>
      </c>
      <c r="E94" t="s">
        <v>9</v>
      </c>
      <c r="F94" t="s">
        <v>51</v>
      </c>
    </row>
    <row r="95" spans="1:6" x14ac:dyDescent="0.25">
      <c r="A95" t="s">
        <v>123</v>
      </c>
      <c r="B95" t="s">
        <v>7</v>
      </c>
      <c r="C95" t="s">
        <v>23</v>
      </c>
      <c r="D95">
        <v>68090</v>
      </c>
      <c r="E95" t="s">
        <v>21</v>
      </c>
      <c r="F95" t="s">
        <v>28</v>
      </c>
    </row>
    <row r="96" spans="1:6" x14ac:dyDescent="0.25">
      <c r="A96" t="s">
        <v>124</v>
      </c>
      <c r="B96" t="s">
        <v>12</v>
      </c>
      <c r="C96" t="s">
        <v>31</v>
      </c>
      <c r="D96">
        <v>87210</v>
      </c>
      <c r="E96" t="s">
        <v>17</v>
      </c>
      <c r="F96" t="s">
        <v>18</v>
      </c>
    </row>
    <row r="97" spans="1:6" x14ac:dyDescent="0.25">
      <c r="A97" t="s">
        <v>125</v>
      </c>
      <c r="B97" t="s">
        <v>7</v>
      </c>
      <c r="C97" t="s">
        <v>13</v>
      </c>
      <c r="D97">
        <v>90800</v>
      </c>
      <c r="E97" t="s">
        <v>17</v>
      </c>
      <c r="F97" t="s">
        <v>28</v>
      </c>
    </row>
    <row r="98" spans="1:6" x14ac:dyDescent="0.25">
      <c r="A98" t="s">
        <v>126</v>
      </c>
      <c r="B98" t="s">
        <v>12</v>
      </c>
      <c r="C98" t="s">
        <v>42</v>
      </c>
      <c r="D98">
        <v>102930</v>
      </c>
      <c r="E98" t="s">
        <v>21</v>
      </c>
      <c r="F98" t="s">
        <v>14</v>
      </c>
    </row>
    <row r="99" spans="1:6" x14ac:dyDescent="0.25">
      <c r="A99" t="s">
        <v>127</v>
      </c>
      <c r="B99" t="s">
        <v>7</v>
      </c>
      <c r="C99" t="s">
        <v>13</v>
      </c>
      <c r="E99" t="s">
        <v>9</v>
      </c>
      <c r="F99" t="s">
        <v>28</v>
      </c>
    </row>
    <row r="100" spans="1:6" x14ac:dyDescent="0.25">
      <c r="A100" t="s">
        <v>128</v>
      </c>
      <c r="B100" t="s">
        <v>12</v>
      </c>
      <c r="C100" t="s">
        <v>37</v>
      </c>
      <c r="D100">
        <v>29080</v>
      </c>
      <c r="E100" t="s">
        <v>21</v>
      </c>
      <c r="F100" t="s">
        <v>28</v>
      </c>
    </row>
    <row r="101" spans="1:6" x14ac:dyDescent="0.25">
      <c r="A101" t="s">
        <v>129</v>
      </c>
      <c r="B101" t="s">
        <v>12</v>
      </c>
      <c r="C101" t="s">
        <v>50</v>
      </c>
      <c r="D101">
        <v>44450</v>
      </c>
      <c r="E101" t="s">
        <v>17</v>
      </c>
      <c r="F101" t="s">
        <v>10</v>
      </c>
    </row>
    <row r="102" spans="1:6" x14ac:dyDescent="0.25">
      <c r="A102" t="s">
        <v>130</v>
      </c>
      <c r="B102" t="s">
        <v>12</v>
      </c>
      <c r="C102" t="s">
        <v>31</v>
      </c>
      <c r="D102">
        <v>97120</v>
      </c>
      <c r="E102" t="s">
        <v>21</v>
      </c>
      <c r="F102" t="s">
        <v>28</v>
      </c>
    </row>
    <row r="103" spans="1:6" x14ac:dyDescent="0.25">
      <c r="A103" t="s">
        <v>131</v>
      </c>
      <c r="B103" t="s">
        <v>7</v>
      </c>
      <c r="C103" t="s">
        <v>23</v>
      </c>
      <c r="D103">
        <v>58840</v>
      </c>
      <c r="E103" t="s">
        <v>17</v>
      </c>
      <c r="F103" t="s">
        <v>28</v>
      </c>
    </row>
    <row r="104" spans="1:6" x14ac:dyDescent="0.25">
      <c r="A104" t="s">
        <v>132</v>
      </c>
      <c r="B104" t="s">
        <v>12</v>
      </c>
      <c r="C104" t="s">
        <v>34</v>
      </c>
      <c r="D104">
        <v>77060</v>
      </c>
      <c r="E104" t="s">
        <v>21</v>
      </c>
      <c r="F104" t="s">
        <v>14</v>
      </c>
    </row>
    <row r="105" spans="1:6" x14ac:dyDescent="0.25">
      <c r="A105" t="s">
        <v>133</v>
      </c>
      <c r="B105" t="s">
        <v>12</v>
      </c>
      <c r="C105" t="s">
        <v>16</v>
      </c>
      <c r="D105">
        <v>81180</v>
      </c>
      <c r="E105" t="s">
        <v>21</v>
      </c>
      <c r="F105" t="s">
        <v>28</v>
      </c>
    </row>
    <row r="106" spans="1:6" x14ac:dyDescent="0.25">
      <c r="A106" t="s">
        <v>134</v>
      </c>
      <c r="B106" t="s">
        <v>7</v>
      </c>
      <c r="C106" t="s">
        <v>23</v>
      </c>
      <c r="D106">
        <v>90080</v>
      </c>
      <c r="E106" t="s">
        <v>21</v>
      </c>
      <c r="F106" t="s">
        <v>28</v>
      </c>
    </row>
    <row r="107" spans="1:6" x14ac:dyDescent="0.25">
      <c r="A107" t="s">
        <v>135</v>
      </c>
      <c r="B107" t="s">
        <v>7</v>
      </c>
      <c r="C107" t="s">
        <v>37</v>
      </c>
      <c r="E107" t="s">
        <v>9</v>
      </c>
      <c r="F107" t="s">
        <v>28</v>
      </c>
    </row>
    <row r="108" spans="1:6" x14ac:dyDescent="0.25">
      <c r="A108" t="s">
        <v>136</v>
      </c>
      <c r="B108" t="s">
        <v>7</v>
      </c>
      <c r="C108" t="s">
        <v>37</v>
      </c>
      <c r="D108">
        <v>35830</v>
      </c>
      <c r="E108" t="s">
        <v>21</v>
      </c>
      <c r="F108" t="s">
        <v>28</v>
      </c>
    </row>
    <row r="109" spans="1:6" x14ac:dyDescent="0.25">
      <c r="A109" t="s">
        <v>137</v>
      </c>
      <c r="B109" t="s">
        <v>7</v>
      </c>
      <c r="C109" t="s">
        <v>20</v>
      </c>
      <c r="D109">
        <v>37110</v>
      </c>
      <c r="E109" t="s">
        <v>21</v>
      </c>
      <c r="F109" t="s">
        <v>28</v>
      </c>
    </row>
    <row r="110" spans="1:6" x14ac:dyDescent="0.25">
      <c r="A110" t="s">
        <v>138</v>
      </c>
      <c r="B110" t="s">
        <v>7</v>
      </c>
      <c r="C110" t="s">
        <v>42</v>
      </c>
      <c r="D110">
        <v>112780</v>
      </c>
      <c r="E110" t="s">
        <v>17</v>
      </c>
      <c r="F110" t="s">
        <v>24</v>
      </c>
    </row>
    <row r="111" spans="1:6" x14ac:dyDescent="0.25">
      <c r="A111" t="s">
        <v>139</v>
      </c>
      <c r="B111" t="s">
        <v>12</v>
      </c>
      <c r="C111" t="s">
        <v>13</v>
      </c>
      <c r="D111">
        <v>96000</v>
      </c>
      <c r="E111" t="s">
        <v>21</v>
      </c>
      <c r="F111" t="s">
        <v>28</v>
      </c>
    </row>
    <row r="112" spans="1:6" x14ac:dyDescent="0.25">
      <c r="A112" t="s">
        <v>140</v>
      </c>
      <c r="B112" t="s">
        <v>12</v>
      </c>
      <c r="C112" t="s">
        <v>37</v>
      </c>
      <c r="D112">
        <v>112550</v>
      </c>
      <c r="E112" t="s">
        <v>21</v>
      </c>
      <c r="F112" t="s">
        <v>28</v>
      </c>
    </row>
    <row r="113" spans="1:6" x14ac:dyDescent="0.25">
      <c r="A113" t="s">
        <v>141</v>
      </c>
      <c r="B113" t="s">
        <v>7</v>
      </c>
      <c r="C113" t="s">
        <v>42</v>
      </c>
      <c r="D113">
        <v>88330</v>
      </c>
      <c r="E113" t="s">
        <v>21</v>
      </c>
      <c r="F113" t="s">
        <v>24</v>
      </c>
    </row>
    <row r="114" spans="1:6" x14ac:dyDescent="0.25">
      <c r="A114" t="s">
        <v>142</v>
      </c>
      <c r="B114" t="s">
        <v>12</v>
      </c>
      <c r="C114" t="s">
        <v>42</v>
      </c>
      <c r="D114">
        <v>116770</v>
      </c>
      <c r="E114" t="s">
        <v>9</v>
      </c>
      <c r="F114" t="s">
        <v>14</v>
      </c>
    </row>
    <row r="115" spans="1:6" x14ac:dyDescent="0.25">
      <c r="A115" t="s">
        <v>143</v>
      </c>
      <c r="B115" t="s">
        <v>7</v>
      </c>
      <c r="C115" t="s">
        <v>67</v>
      </c>
      <c r="D115">
        <v>40270</v>
      </c>
      <c r="E115" t="s">
        <v>21</v>
      </c>
      <c r="F115" t="s">
        <v>28</v>
      </c>
    </row>
    <row r="116" spans="1:6" x14ac:dyDescent="0.25">
      <c r="A116" t="s">
        <v>144</v>
      </c>
      <c r="C116" t="s">
        <v>34</v>
      </c>
      <c r="E116" t="s">
        <v>21</v>
      </c>
      <c r="F116" t="s">
        <v>28</v>
      </c>
    </row>
    <row r="117" spans="1:6" x14ac:dyDescent="0.25">
      <c r="A117" t="s">
        <v>145</v>
      </c>
      <c r="B117" t="s">
        <v>12</v>
      </c>
      <c r="C117" t="s">
        <v>34</v>
      </c>
      <c r="D117">
        <v>96640</v>
      </c>
      <c r="E117" t="s">
        <v>21</v>
      </c>
      <c r="F117" t="s">
        <v>10</v>
      </c>
    </row>
    <row r="118" spans="1:6" x14ac:dyDescent="0.25">
      <c r="A118" t="s">
        <v>146</v>
      </c>
      <c r="B118" t="s">
        <v>12</v>
      </c>
      <c r="C118" t="s">
        <v>34</v>
      </c>
      <c r="D118">
        <v>118100</v>
      </c>
      <c r="E118" t="s">
        <v>9</v>
      </c>
      <c r="F118" t="s">
        <v>28</v>
      </c>
    </row>
    <row r="119" spans="1:6" x14ac:dyDescent="0.25">
      <c r="A119" t="s">
        <v>147</v>
      </c>
      <c r="B119" t="s">
        <v>7</v>
      </c>
      <c r="C119" t="s">
        <v>13</v>
      </c>
      <c r="D119">
        <v>43600</v>
      </c>
      <c r="E119" t="s">
        <v>17</v>
      </c>
      <c r="F119" t="s">
        <v>28</v>
      </c>
    </row>
    <row r="120" spans="1:6" x14ac:dyDescent="0.25">
      <c r="A120" t="s">
        <v>148</v>
      </c>
      <c r="B120" t="s">
        <v>12</v>
      </c>
      <c r="C120" t="s">
        <v>20</v>
      </c>
      <c r="D120">
        <v>54520</v>
      </c>
      <c r="E120" t="s">
        <v>17</v>
      </c>
      <c r="F120" t="s">
        <v>24</v>
      </c>
    </row>
    <row r="121" spans="1:6" x14ac:dyDescent="0.25">
      <c r="A121" t="s">
        <v>149</v>
      </c>
      <c r="B121" t="s">
        <v>12</v>
      </c>
      <c r="C121" t="s">
        <v>50</v>
      </c>
      <c r="D121">
        <v>57750</v>
      </c>
      <c r="E121" t="s">
        <v>17</v>
      </c>
      <c r="F121" t="s">
        <v>28</v>
      </c>
    </row>
    <row r="122" spans="1:6" x14ac:dyDescent="0.25">
      <c r="A122" t="s">
        <v>150</v>
      </c>
      <c r="B122" t="s">
        <v>12</v>
      </c>
      <c r="C122" t="s">
        <v>42</v>
      </c>
      <c r="D122">
        <v>99970</v>
      </c>
      <c r="E122" t="s">
        <v>9</v>
      </c>
      <c r="F122" t="s">
        <v>28</v>
      </c>
    </row>
    <row r="123" spans="1:6" x14ac:dyDescent="0.25">
      <c r="A123" t="s">
        <v>151</v>
      </c>
      <c r="B123" t="s">
        <v>7</v>
      </c>
      <c r="C123" t="s">
        <v>8</v>
      </c>
      <c r="D123">
        <v>62200</v>
      </c>
      <c r="E123" t="s">
        <v>21</v>
      </c>
      <c r="F123" t="s">
        <v>10</v>
      </c>
    </row>
    <row r="124" spans="1:6" x14ac:dyDescent="0.25">
      <c r="A124" t="s">
        <v>152</v>
      </c>
      <c r="B124" t="s">
        <v>7</v>
      </c>
      <c r="C124" t="s">
        <v>27</v>
      </c>
      <c r="D124">
        <v>42990</v>
      </c>
      <c r="E124" t="s">
        <v>21</v>
      </c>
      <c r="F124" t="s">
        <v>28</v>
      </c>
    </row>
    <row r="125" spans="1:6" x14ac:dyDescent="0.25">
      <c r="A125" t="s">
        <v>153</v>
      </c>
      <c r="B125" t="s">
        <v>7</v>
      </c>
      <c r="C125" t="s">
        <v>23</v>
      </c>
      <c r="D125">
        <v>117810</v>
      </c>
      <c r="E125" t="s">
        <v>17</v>
      </c>
      <c r="F125" t="s">
        <v>28</v>
      </c>
    </row>
    <row r="126" spans="1:6" x14ac:dyDescent="0.25">
      <c r="A126" t="s">
        <v>154</v>
      </c>
      <c r="B126" t="s">
        <v>7</v>
      </c>
      <c r="C126" t="s">
        <v>31</v>
      </c>
      <c r="D126">
        <v>58130</v>
      </c>
      <c r="E126" t="s">
        <v>21</v>
      </c>
      <c r="F126" t="s">
        <v>28</v>
      </c>
    </row>
    <row r="127" spans="1:6" x14ac:dyDescent="0.25">
      <c r="A127" t="s">
        <v>155</v>
      </c>
      <c r="B127" t="s">
        <v>7</v>
      </c>
      <c r="C127" t="s">
        <v>31</v>
      </c>
      <c r="D127">
        <v>86840</v>
      </c>
      <c r="E127" t="s">
        <v>17</v>
      </c>
      <c r="F127" t="s">
        <v>28</v>
      </c>
    </row>
    <row r="128" spans="1:6" x14ac:dyDescent="0.25">
      <c r="A128" t="s">
        <v>156</v>
      </c>
      <c r="B128" t="s">
        <v>12</v>
      </c>
      <c r="C128" t="s">
        <v>53</v>
      </c>
      <c r="E128" t="s">
        <v>17</v>
      </c>
      <c r="F128" t="s">
        <v>28</v>
      </c>
    </row>
    <row r="129" spans="1:6" x14ac:dyDescent="0.25">
      <c r="A129" t="s">
        <v>157</v>
      </c>
      <c r="B129" t="s">
        <v>12</v>
      </c>
      <c r="C129" t="s">
        <v>37</v>
      </c>
      <c r="D129">
        <v>41700</v>
      </c>
      <c r="E129" t="s">
        <v>9</v>
      </c>
      <c r="F129" t="s">
        <v>14</v>
      </c>
    </row>
    <row r="130" spans="1:6" x14ac:dyDescent="0.25">
      <c r="A130" t="s">
        <v>158</v>
      </c>
      <c r="B130" t="s">
        <v>7</v>
      </c>
      <c r="C130" t="s">
        <v>20</v>
      </c>
      <c r="E130" t="s">
        <v>17</v>
      </c>
      <c r="F130" t="s">
        <v>28</v>
      </c>
    </row>
    <row r="131" spans="1:6" x14ac:dyDescent="0.25">
      <c r="A131" t="s">
        <v>159</v>
      </c>
      <c r="B131" t="s">
        <v>7</v>
      </c>
      <c r="C131" t="s">
        <v>27</v>
      </c>
      <c r="D131">
        <v>72880</v>
      </c>
      <c r="E131" t="s">
        <v>21</v>
      </c>
      <c r="F131" t="s">
        <v>28</v>
      </c>
    </row>
    <row r="132" spans="1:6" x14ac:dyDescent="0.25">
      <c r="A132" t="s">
        <v>99</v>
      </c>
      <c r="B132" t="s">
        <v>7</v>
      </c>
      <c r="C132" t="s">
        <v>50</v>
      </c>
      <c r="D132">
        <v>49670</v>
      </c>
      <c r="E132" t="s">
        <v>17</v>
      </c>
      <c r="F132" t="s">
        <v>14</v>
      </c>
    </row>
    <row r="133" spans="1:6" x14ac:dyDescent="0.25">
      <c r="A133" t="s">
        <v>160</v>
      </c>
      <c r="B133" t="s">
        <v>7</v>
      </c>
      <c r="C133" t="s">
        <v>53</v>
      </c>
      <c r="D133">
        <v>117150</v>
      </c>
      <c r="E133" t="s">
        <v>17</v>
      </c>
      <c r="F133" t="s">
        <v>28</v>
      </c>
    </row>
    <row r="134" spans="1:6" x14ac:dyDescent="0.25">
      <c r="A134" t="s">
        <v>161</v>
      </c>
      <c r="B134" t="s">
        <v>7</v>
      </c>
      <c r="C134" t="s">
        <v>27</v>
      </c>
      <c r="D134">
        <v>97020</v>
      </c>
      <c r="E134" t="s">
        <v>21</v>
      </c>
      <c r="F134" t="s">
        <v>24</v>
      </c>
    </row>
    <row r="135" spans="1:6" x14ac:dyDescent="0.25">
      <c r="A135" t="s">
        <v>162</v>
      </c>
      <c r="B135" t="s">
        <v>7</v>
      </c>
      <c r="C135" t="s">
        <v>42</v>
      </c>
      <c r="D135">
        <v>67510</v>
      </c>
      <c r="E135" t="s">
        <v>21</v>
      </c>
      <c r="F135" t="s">
        <v>18</v>
      </c>
    </row>
    <row r="136" spans="1:6" x14ac:dyDescent="0.25">
      <c r="A136" t="s">
        <v>163</v>
      </c>
      <c r="B136" t="s">
        <v>12</v>
      </c>
      <c r="C136" t="s">
        <v>27</v>
      </c>
      <c r="D136">
        <v>34830</v>
      </c>
      <c r="E136" t="s">
        <v>21</v>
      </c>
      <c r="F136" t="s">
        <v>28</v>
      </c>
    </row>
    <row r="137" spans="1:6" x14ac:dyDescent="0.25">
      <c r="A137" t="s">
        <v>164</v>
      </c>
      <c r="B137" t="s">
        <v>7</v>
      </c>
      <c r="C137" t="s">
        <v>20</v>
      </c>
      <c r="D137">
        <v>38730</v>
      </c>
      <c r="E137" t="s">
        <v>17</v>
      </c>
      <c r="F137" t="s">
        <v>28</v>
      </c>
    </row>
    <row r="138" spans="1:6" x14ac:dyDescent="0.25">
      <c r="A138" t="s">
        <v>165</v>
      </c>
      <c r="B138" t="s">
        <v>7</v>
      </c>
      <c r="C138" t="s">
        <v>31</v>
      </c>
      <c r="D138">
        <v>96790</v>
      </c>
      <c r="E138" t="s">
        <v>9</v>
      </c>
      <c r="F138" t="s">
        <v>14</v>
      </c>
    </row>
    <row r="139" spans="1:6" x14ac:dyDescent="0.25">
      <c r="A139" t="s">
        <v>166</v>
      </c>
      <c r="B139" t="s">
        <v>12</v>
      </c>
      <c r="C139" t="s">
        <v>13</v>
      </c>
      <c r="D139">
        <v>68040</v>
      </c>
      <c r="E139" t="s">
        <v>21</v>
      </c>
      <c r="F139" t="s">
        <v>14</v>
      </c>
    </row>
    <row r="140" spans="1:6" x14ac:dyDescent="0.25">
      <c r="A140" t="s">
        <v>167</v>
      </c>
      <c r="B140" t="s">
        <v>7</v>
      </c>
      <c r="C140" t="s">
        <v>34</v>
      </c>
      <c r="D140">
        <v>88510</v>
      </c>
      <c r="E140" t="s">
        <v>9</v>
      </c>
      <c r="F140" t="s">
        <v>28</v>
      </c>
    </row>
    <row r="141" spans="1:6" x14ac:dyDescent="0.25">
      <c r="A141" t="s">
        <v>168</v>
      </c>
      <c r="B141" t="s">
        <v>12</v>
      </c>
      <c r="C141" t="s">
        <v>27</v>
      </c>
      <c r="D141">
        <v>65350</v>
      </c>
      <c r="E141" t="s">
        <v>17</v>
      </c>
      <c r="F141" t="s">
        <v>51</v>
      </c>
    </row>
    <row r="142" spans="1:6" x14ac:dyDescent="0.25">
      <c r="A142" t="s">
        <v>169</v>
      </c>
      <c r="B142" t="s">
        <v>12</v>
      </c>
      <c r="C142" t="s">
        <v>37</v>
      </c>
      <c r="D142">
        <v>52000</v>
      </c>
      <c r="E142" t="s">
        <v>9</v>
      </c>
      <c r="F142" t="s">
        <v>18</v>
      </c>
    </row>
    <row r="143" spans="1:6" x14ac:dyDescent="0.25">
      <c r="A143" t="s">
        <v>170</v>
      </c>
      <c r="B143" t="s">
        <v>12</v>
      </c>
      <c r="C143" t="s">
        <v>27</v>
      </c>
      <c r="D143">
        <v>85740</v>
      </c>
      <c r="E143" t="s">
        <v>9</v>
      </c>
      <c r="F143" t="s">
        <v>28</v>
      </c>
    </row>
    <row r="144" spans="1:6" x14ac:dyDescent="0.25">
      <c r="A144" t="s">
        <v>171</v>
      </c>
      <c r="B144" t="s">
        <v>7</v>
      </c>
      <c r="C144" t="s">
        <v>50</v>
      </c>
      <c r="D144">
        <v>92500</v>
      </c>
      <c r="E144" t="s">
        <v>9</v>
      </c>
      <c r="F144" t="s">
        <v>14</v>
      </c>
    </row>
    <row r="145" spans="1:6" x14ac:dyDescent="0.25">
      <c r="A145" t="s">
        <v>172</v>
      </c>
      <c r="B145" t="s">
        <v>7</v>
      </c>
      <c r="C145" t="s">
        <v>8</v>
      </c>
      <c r="D145">
        <v>80770</v>
      </c>
      <c r="E145" t="s">
        <v>17</v>
      </c>
      <c r="F145" t="s">
        <v>10</v>
      </c>
    </row>
    <row r="146" spans="1:6" x14ac:dyDescent="0.25">
      <c r="A146" t="s">
        <v>173</v>
      </c>
      <c r="B146" t="s">
        <v>12</v>
      </c>
      <c r="C146" t="s">
        <v>37</v>
      </c>
      <c r="D146">
        <v>67820</v>
      </c>
      <c r="E146" t="s">
        <v>21</v>
      </c>
      <c r="F146" t="s">
        <v>18</v>
      </c>
    </row>
    <row r="147" spans="1:6" x14ac:dyDescent="0.25">
      <c r="A147" t="s">
        <v>26</v>
      </c>
      <c r="B147" t="s">
        <v>12</v>
      </c>
      <c r="C147" t="s">
        <v>27</v>
      </c>
      <c r="D147">
        <v>41160</v>
      </c>
      <c r="E147" t="s">
        <v>17</v>
      </c>
      <c r="F147" t="s">
        <v>14</v>
      </c>
    </row>
    <row r="148" spans="1:6" x14ac:dyDescent="0.25">
      <c r="A148" t="s">
        <v>174</v>
      </c>
      <c r="B148" t="s">
        <v>12</v>
      </c>
      <c r="C148" t="s">
        <v>13</v>
      </c>
      <c r="D148">
        <v>48060</v>
      </c>
      <c r="E148" t="s">
        <v>17</v>
      </c>
      <c r="F148" t="s">
        <v>24</v>
      </c>
    </row>
    <row r="149" spans="1:6" x14ac:dyDescent="0.25">
      <c r="A149" t="s">
        <v>175</v>
      </c>
      <c r="B149" t="s">
        <v>7</v>
      </c>
      <c r="C149" t="s">
        <v>42</v>
      </c>
      <c r="D149">
        <v>56830</v>
      </c>
      <c r="E149" t="s">
        <v>21</v>
      </c>
      <c r="F149" t="s">
        <v>10</v>
      </c>
    </row>
    <row r="150" spans="1:6" x14ac:dyDescent="0.25">
      <c r="A150" t="s">
        <v>176</v>
      </c>
      <c r="B150" t="s">
        <v>12</v>
      </c>
      <c r="C150" t="s">
        <v>37</v>
      </c>
      <c r="D150">
        <v>72500</v>
      </c>
      <c r="E150" t="s">
        <v>9</v>
      </c>
      <c r="F150" t="s">
        <v>51</v>
      </c>
    </row>
    <row r="151" spans="1:6" x14ac:dyDescent="0.25">
      <c r="A151" t="s">
        <v>177</v>
      </c>
      <c r="B151" t="s">
        <v>12</v>
      </c>
      <c r="C151" t="s">
        <v>31</v>
      </c>
      <c r="D151">
        <v>57080</v>
      </c>
      <c r="E151" t="s">
        <v>17</v>
      </c>
      <c r="F151" t="s">
        <v>28</v>
      </c>
    </row>
    <row r="152" spans="1:6" x14ac:dyDescent="0.25">
      <c r="A152" t="s">
        <v>178</v>
      </c>
      <c r="B152" t="s">
        <v>7</v>
      </c>
      <c r="C152" t="s">
        <v>37</v>
      </c>
      <c r="D152">
        <v>104080</v>
      </c>
      <c r="E152" t="s">
        <v>17</v>
      </c>
      <c r="F152" t="s">
        <v>51</v>
      </c>
    </row>
    <row r="153" spans="1:6" x14ac:dyDescent="0.25">
      <c r="A153" t="s">
        <v>179</v>
      </c>
      <c r="B153" t="s">
        <v>7</v>
      </c>
      <c r="C153" t="s">
        <v>67</v>
      </c>
      <c r="E153" t="s">
        <v>21</v>
      </c>
      <c r="F153" t="s">
        <v>18</v>
      </c>
    </row>
    <row r="154" spans="1:6" x14ac:dyDescent="0.25">
      <c r="A154" t="s">
        <v>180</v>
      </c>
      <c r="B154" t="s">
        <v>7</v>
      </c>
      <c r="C154" t="s">
        <v>20</v>
      </c>
      <c r="D154">
        <v>29770</v>
      </c>
      <c r="E154" t="s">
        <v>9</v>
      </c>
      <c r="F154" t="s">
        <v>14</v>
      </c>
    </row>
    <row r="155" spans="1:6" x14ac:dyDescent="0.25">
      <c r="A155" t="s">
        <v>181</v>
      </c>
      <c r="B155" t="s">
        <v>7</v>
      </c>
      <c r="C155" t="s">
        <v>20</v>
      </c>
      <c r="D155">
        <v>48690</v>
      </c>
      <c r="E155" t="s">
        <v>9</v>
      </c>
      <c r="F155" t="s">
        <v>28</v>
      </c>
    </row>
    <row r="156" spans="1:6" x14ac:dyDescent="0.25">
      <c r="A156" t="s">
        <v>182</v>
      </c>
      <c r="C156" t="s">
        <v>50</v>
      </c>
      <c r="D156">
        <v>70080</v>
      </c>
      <c r="E156" t="s">
        <v>9</v>
      </c>
      <c r="F156" t="s">
        <v>51</v>
      </c>
    </row>
    <row r="157" spans="1:6" x14ac:dyDescent="0.25">
      <c r="A157" t="s">
        <v>167</v>
      </c>
      <c r="B157" t="s">
        <v>7</v>
      </c>
      <c r="C157" t="s">
        <v>34</v>
      </c>
      <c r="D157">
        <v>88510</v>
      </c>
      <c r="E157" t="s">
        <v>21</v>
      </c>
      <c r="F157" t="s">
        <v>24</v>
      </c>
    </row>
    <row r="158" spans="1:6" x14ac:dyDescent="0.25">
      <c r="A158" t="s">
        <v>183</v>
      </c>
      <c r="B158" t="s">
        <v>12</v>
      </c>
      <c r="C158" t="s">
        <v>34</v>
      </c>
      <c r="D158">
        <v>69190</v>
      </c>
      <c r="E158" t="s">
        <v>17</v>
      </c>
      <c r="F158" t="s">
        <v>28</v>
      </c>
    </row>
    <row r="159" spans="1:6" x14ac:dyDescent="0.25">
      <c r="A159" t="s">
        <v>184</v>
      </c>
      <c r="B159" t="s">
        <v>7</v>
      </c>
      <c r="C159" t="s">
        <v>31</v>
      </c>
      <c r="D159">
        <v>37920</v>
      </c>
      <c r="E159" t="s">
        <v>17</v>
      </c>
      <c r="F159" t="s">
        <v>28</v>
      </c>
    </row>
    <row r="160" spans="1:6" x14ac:dyDescent="0.25">
      <c r="A160" t="s">
        <v>185</v>
      </c>
      <c r="B160" t="s">
        <v>7</v>
      </c>
      <c r="C160" t="s">
        <v>53</v>
      </c>
      <c r="D160">
        <v>89120</v>
      </c>
      <c r="E160" t="s">
        <v>9</v>
      </c>
      <c r="F160" t="s">
        <v>14</v>
      </c>
    </row>
    <row r="161" spans="1:6" x14ac:dyDescent="0.25">
      <c r="A161" t="s">
        <v>186</v>
      </c>
      <c r="B161" t="s">
        <v>12</v>
      </c>
      <c r="C161" t="s">
        <v>20</v>
      </c>
      <c r="D161">
        <v>48140</v>
      </c>
      <c r="E161" t="s">
        <v>17</v>
      </c>
      <c r="F161" t="s">
        <v>10</v>
      </c>
    </row>
    <row r="162" spans="1:6" x14ac:dyDescent="0.25">
      <c r="A162" t="s">
        <v>187</v>
      </c>
      <c r="B162" t="s">
        <v>7</v>
      </c>
      <c r="C162" t="s">
        <v>23</v>
      </c>
      <c r="D162">
        <v>69340</v>
      </c>
      <c r="E162" t="s">
        <v>9</v>
      </c>
      <c r="F162" t="s">
        <v>28</v>
      </c>
    </row>
    <row r="163" spans="1:6" x14ac:dyDescent="0.25">
      <c r="A163" t="s">
        <v>188</v>
      </c>
      <c r="B163" t="s">
        <v>7</v>
      </c>
      <c r="C163" t="s">
        <v>27</v>
      </c>
      <c r="D163">
        <v>71330</v>
      </c>
      <c r="E163" t="s">
        <v>21</v>
      </c>
      <c r="F163" t="s">
        <v>10</v>
      </c>
    </row>
    <row r="164" spans="1:6" x14ac:dyDescent="0.25">
      <c r="A164" t="s">
        <v>189</v>
      </c>
      <c r="B164" t="s">
        <v>12</v>
      </c>
      <c r="C164" t="s">
        <v>67</v>
      </c>
      <c r="D164">
        <v>67620</v>
      </c>
      <c r="E164" t="s">
        <v>17</v>
      </c>
      <c r="F164" t="s">
        <v>14</v>
      </c>
    </row>
    <row r="165" spans="1:6" x14ac:dyDescent="0.25">
      <c r="A165" t="s">
        <v>190</v>
      </c>
      <c r="B165" t="s">
        <v>12</v>
      </c>
      <c r="C165" t="s">
        <v>37</v>
      </c>
      <c r="D165">
        <v>69740</v>
      </c>
      <c r="E165" t="s">
        <v>9</v>
      </c>
      <c r="F165" t="s">
        <v>18</v>
      </c>
    </row>
    <row r="166" spans="1:6" x14ac:dyDescent="0.25">
      <c r="A166" t="s">
        <v>191</v>
      </c>
      <c r="B166" t="s">
        <v>12</v>
      </c>
      <c r="C166" t="s">
        <v>13</v>
      </c>
      <c r="D166">
        <v>44300</v>
      </c>
      <c r="E166" t="s">
        <v>9</v>
      </c>
      <c r="F166" t="s">
        <v>14</v>
      </c>
    </row>
    <row r="167" spans="1:6" x14ac:dyDescent="0.25">
      <c r="A167" t="s">
        <v>192</v>
      </c>
      <c r="B167" t="s">
        <v>12</v>
      </c>
      <c r="C167" t="s">
        <v>34</v>
      </c>
      <c r="D167">
        <v>40560</v>
      </c>
      <c r="E167" t="s">
        <v>9</v>
      </c>
      <c r="F167" t="s">
        <v>24</v>
      </c>
    </row>
    <row r="168" spans="1:6" x14ac:dyDescent="0.25">
      <c r="A168" t="s">
        <v>193</v>
      </c>
      <c r="B168" t="s">
        <v>12</v>
      </c>
      <c r="C168" t="s">
        <v>8</v>
      </c>
      <c r="D168">
        <v>115230</v>
      </c>
      <c r="E168" t="s">
        <v>17</v>
      </c>
      <c r="F168" t="s">
        <v>14</v>
      </c>
    </row>
    <row r="169" spans="1:6" x14ac:dyDescent="0.25">
      <c r="A169" t="s">
        <v>194</v>
      </c>
      <c r="B169" t="s">
        <v>12</v>
      </c>
      <c r="C169" t="s">
        <v>42</v>
      </c>
      <c r="D169">
        <v>39750</v>
      </c>
      <c r="E169" t="s">
        <v>21</v>
      </c>
      <c r="F169" t="s">
        <v>28</v>
      </c>
    </row>
    <row r="170" spans="1:6" x14ac:dyDescent="0.25">
      <c r="A170" t="s">
        <v>159</v>
      </c>
      <c r="B170" t="s">
        <v>7</v>
      </c>
      <c r="C170" t="s">
        <v>27</v>
      </c>
      <c r="D170">
        <v>72880</v>
      </c>
      <c r="E170" t="s">
        <v>9</v>
      </c>
      <c r="F170" t="s">
        <v>28</v>
      </c>
    </row>
    <row r="171" spans="1:6" x14ac:dyDescent="0.25">
      <c r="A171" t="s">
        <v>195</v>
      </c>
      <c r="C171" t="s">
        <v>50</v>
      </c>
      <c r="D171">
        <v>108970</v>
      </c>
      <c r="E171" t="s">
        <v>17</v>
      </c>
      <c r="F171" t="s">
        <v>28</v>
      </c>
    </row>
    <row r="172" spans="1:6" x14ac:dyDescent="0.25">
      <c r="A172" t="s">
        <v>196</v>
      </c>
      <c r="B172" t="s">
        <v>12</v>
      </c>
      <c r="C172" t="s">
        <v>13</v>
      </c>
      <c r="D172">
        <v>112570</v>
      </c>
      <c r="E172" t="s">
        <v>17</v>
      </c>
      <c r="F172" t="s">
        <v>24</v>
      </c>
    </row>
    <row r="173" spans="1:6" x14ac:dyDescent="0.25">
      <c r="A173" t="s">
        <v>197</v>
      </c>
      <c r="B173" t="s">
        <v>7</v>
      </c>
      <c r="C173" t="s">
        <v>53</v>
      </c>
      <c r="D173">
        <v>56810</v>
      </c>
      <c r="E173" t="s">
        <v>21</v>
      </c>
      <c r="F173" t="s">
        <v>24</v>
      </c>
    </row>
    <row r="174" spans="1:6" x14ac:dyDescent="0.25">
      <c r="A174" t="s">
        <v>198</v>
      </c>
      <c r="C174" t="s">
        <v>34</v>
      </c>
      <c r="D174">
        <v>42950</v>
      </c>
      <c r="E174" t="s">
        <v>17</v>
      </c>
      <c r="F174" t="s">
        <v>24</v>
      </c>
    </row>
    <row r="175" spans="1:6" x14ac:dyDescent="0.25">
      <c r="A175" t="s">
        <v>199</v>
      </c>
      <c r="B175" t="s">
        <v>12</v>
      </c>
      <c r="C175" t="s">
        <v>31</v>
      </c>
      <c r="D175">
        <v>42820</v>
      </c>
      <c r="E175" t="s">
        <v>21</v>
      </c>
      <c r="F175" t="s">
        <v>28</v>
      </c>
    </row>
    <row r="176" spans="1:6" x14ac:dyDescent="0.25">
      <c r="A176" t="s">
        <v>200</v>
      </c>
      <c r="B176" t="s">
        <v>12</v>
      </c>
      <c r="C176" t="s">
        <v>8</v>
      </c>
      <c r="D176">
        <v>57080</v>
      </c>
      <c r="E176" t="s">
        <v>21</v>
      </c>
      <c r="F176" t="s">
        <v>28</v>
      </c>
    </row>
    <row r="177" spans="1:6" x14ac:dyDescent="0.25">
      <c r="A177" t="s">
        <v>201</v>
      </c>
      <c r="B177" t="s">
        <v>12</v>
      </c>
      <c r="C177" t="s">
        <v>67</v>
      </c>
      <c r="D177">
        <v>101670</v>
      </c>
      <c r="E177" t="s">
        <v>21</v>
      </c>
      <c r="F177" t="s">
        <v>28</v>
      </c>
    </row>
    <row r="178" spans="1:6" x14ac:dyDescent="0.25">
      <c r="A178" t="s">
        <v>202</v>
      </c>
      <c r="B178" t="s">
        <v>12</v>
      </c>
      <c r="C178" t="s">
        <v>67</v>
      </c>
      <c r="D178">
        <v>104750</v>
      </c>
      <c r="E178" t="s">
        <v>21</v>
      </c>
      <c r="F178" t="s">
        <v>28</v>
      </c>
    </row>
    <row r="179" spans="1:6" x14ac:dyDescent="0.25">
      <c r="A179" t="s">
        <v>203</v>
      </c>
      <c r="B179" t="s">
        <v>7</v>
      </c>
      <c r="C179" t="s">
        <v>13</v>
      </c>
      <c r="D179">
        <v>43330</v>
      </c>
      <c r="E179" t="s">
        <v>17</v>
      </c>
      <c r="F179" t="s">
        <v>10</v>
      </c>
    </row>
    <row r="180" spans="1:6" x14ac:dyDescent="0.25">
      <c r="A180" t="s">
        <v>204</v>
      </c>
      <c r="B180" t="s">
        <v>7</v>
      </c>
      <c r="C180" t="s">
        <v>53</v>
      </c>
      <c r="D180">
        <v>61430</v>
      </c>
      <c r="E180" t="s">
        <v>21</v>
      </c>
      <c r="F180" t="s">
        <v>24</v>
      </c>
    </row>
    <row r="181" spans="1:6" x14ac:dyDescent="0.25">
      <c r="A181" t="s">
        <v>205</v>
      </c>
      <c r="B181" t="s">
        <v>7</v>
      </c>
      <c r="C181" t="s">
        <v>37</v>
      </c>
      <c r="D181">
        <v>105800</v>
      </c>
      <c r="E181" t="s">
        <v>21</v>
      </c>
      <c r="F181" t="s">
        <v>10</v>
      </c>
    </row>
    <row r="182" spans="1:6" x14ac:dyDescent="0.25">
      <c r="A182" t="s">
        <v>206</v>
      </c>
      <c r="B182" t="s">
        <v>7</v>
      </c>
      <c r="C182" t="s">
        <v>42</v>
      </c>
      <c r="D182">
        <v>99470</v>
      </c>
      <c r="E182" t="s">
        <v>21</v>
      </c>
      <c r="F182" t="s">
        <v>14</v>
      </c>
    </row>
    <row r="183" spans="1:6" x14ac:dyDescent="0.25">
      <c r="A183" t="s">
        <v>207</v>
      </c>
      <c r="B183" t="s">
        <v>12</v>
      </c>
      <c r="C183" t="s">
        <v>53</v>
      </c>
      <c r="D183">
        <v>68890</v>
      </c>
      <c r="E183" t="s">
        <v>21</v>
      </c>
      <c r="F183" t="s">
        <v>14</v>
      </c>
    </row>
    <row r="184" spans="1:6" x14ac:dyDescent="0.25">
      <c r="A184" t="s">
        <v>208</v>
      </c>
      <c r="B184" t="s">
        <v>12</v>
      </c>
      <c r="C184" t="s">
        <v>16</v>
      </c>
      <c r="D184">
        <v>58860</v>
      </c>
      <c r="E184" t="s">
        <v>21</v>
      </c>
      <c r="F184" t="s">
        <v>28</v>
      </c>
    </row>
    <row r="185" spans="1:6" x14ac:dyDescent="0.25">
      <c r="A185" t="s">
        <v>209</v>
      </c>
      <c r="B185" t="s">
        <v>12</v>
      </c>
      <c r="C185" t="s">
        <v>13</v>
      </c>
      <c r="D185">
        <v>86940</v>
      </c>
      <c r="E185" t="s">
        <v>21</v>
      </c>
      <c r="F185" t="s">
        <v>28</v>
      </c>
    </row>
    <row r="186" spans="1:6" x14ac:dyDescent="0.25">
      <c r="A186" t="s">
        <v>210</v>
      </c>
      <c r="B186" t="s">
        <v>7</v>
      </c>
      <c r="C186" t="s">
        <v>23</v>
      </c>
      <c r="D186">
        <v>118120</v>
      </c>
      <c r="E186" t="s">
        <v>9</v>
      </c>
      <c r="F186" t="s">
        <v>28</v>
      </c>
    </row>
    <row r="187" spans="1:6" x14ac:dyDescent="0.25">
      <c r="A187" t="s">
        <v>211</v>
      </c>
      <c r="B187" t="s">
        <v>7</v>
      </c>
      <c r="C187" t="s">
        <v>67</v>
      </c>
      <c r="D187">
        <v>91120</v>
      </c>
      <c r="E187" t="s">
        <v>21</v>
      </c>
      <c r="F187" t="s">
        <v>24</v>
      </c>
    </row>
    <row r="188" spans="1:6" x14ac:dyDescent="0.25">
      <c r="A188" t="s">
        <v>212</v>
      </c>
      <c r="B188" t="s">
        <v>7</v>
      </c>
      <c r="C188" t="s">
        <v>50</v>
      </c>
      <c r="D188">
        <v>41420</v>
      </c>
      <c r="E188" t="s">
        <v>17</v>
      </c>
      <c r="F188" t="s">
        <v>14</v>
      </c>
    </row>
    <row r="189" spans="1:6" x14ac:dyDescent="0.25">
      <c r="A189" t="s">
        <v>213</v>
      </c>
      <c r="B189" t="s">
        <v>12</v>
      </c>
      <c r="C189" t="s">
        <v>42</v>
      </c>
      <c r="D189">
        <v>86010</v>
      </c>
      <c r="E189" t="s">
        <v>21</v>
      </c>
      <c r="F189" t="s">
        <v>28</v>
      </c>
    </row>
    <row r="190" spans="1:6" x14ac:dyDescent="0.25">
      <c r="A190" t="s">
        <v>214</v>
      </c>
      <c r="B190" t="s">
        <v>7</v>
      </c>
      <c r="C190" t="s">
        <v>23</v>
      </c>
      <c r="D190">
        <v>30080</v>
      </c>
      <c r="E190" t="s">
        <v>17</v>
      </c>
      <c r="F190" t="s">
        <v>28</v>
      </c>
    </row>
    <row r="191" spans="1:6" x14ac:dyDescent="0.25">
      <c r="A191" t="s">
        <v>215</v>
      </c>
      <c r="B191" t="s">
        <v>7</v>
      </c>
      <c r="C191" t="s">
        <v>53</v>
      </c>
      <c r="D191">
        <v>96800</v>
      </c>
      <c r="E191" t="s">
        <v>17</v>
      </c>
      <c r="F191" t="s">
        <v>28</v>
      </c>
    </row>
    <row r="192" spans="1:6" x14ac:dyDescent="0.25">
      <c r="A192" t="s">
        <v>216</v>
      </c>
      <c r="B192" t="s">
        <v>12</v>
      </c>
      <c r="C192" t="s">
        <v>20</v>
      </c>
      <c r="D192">
        <v>31090</v>
      </c>
      <c r="E192" t="s">
        <v>9</v>
      </c>
      <c r="F192" t="s">
        <v>28</v>
      </c>
    </row>
    <row r="193" spans="1:6" x14ac:dyDescent="0.25">
      <c r="A193" t="s">
        <v>217</v>
      </c>
      <c r="B193" t="s">
        <v>12</v>
      </c>
      <c r="C193" t="s">
        <v>42</v>
      </c>
      <c r="D193">
        <v>96140</v>
      </c>
      <c r="E193" t="s">
        <v>9</v>
      </c>
      <c r="F193" t="s">
        <v>14</v>
      </c>
    </row>
    <row r="194" spans="1:6" x14ac:dyDescent="0.25">
      <c r="A194" t="s">
        <v>218</v>
      </c>
      <c r="B194" t="s">
        <v>12</v>
      </c>
      <c r="C194" t="s">
        <v>50</v>
      </c>
      <c r="D194">
        <v>98640</v>
      </c>
      <c r="E194" t="s">
        <v>21</v>
      </c>
      <c r="F194" t="s">
        <v>14</v>
      </c>
    </row>
    <row r="195" spans="1:6" x14ac:dyDescent="0.25">
      <c r="A195" t="s">
        <v>219</v>
      </c>
      <c r="B195" t="s">
        <v>12</v>
      </c>
      <c r="C195" t="s">
        <v>8</v>
      </c>
      <c r="D195">
        <v>71510</v>
      </c>
      <c r="E195" t="s">
        <v>9</v>
      </c>
      <c r="F195" t="s">
        <v>14</v>
      </c>
    </row>
    <row r="196" spans="1:6" x14ac:dyDescent="0.25">
      <c r="A196" t="s">
        <v>220</v>
      </c>
      <c r="B196" t="s">
        <v>12</v>
      </c>
      <c r="C196" t="s">
        <v>20</v>
      </c>
      <c r="D196">
        <v>86490</v>
      </c>
      <c r="E196" t="s">
        <v>21</v>
      </c>
      <c r="F196" t="s">
        <v>24</v>
      </c>
    </row>
    <row r="197" spans="1:6" x14ac:dyDescent="0.25">
      <c r="A197" t="s">
        <v>221</v>
      </c>
      <c r="C197" t="s">
        <v>13</v>
      </c>
      <c r="D197">
        <v>103240</v>
      </c>
      <c r="E197" t="s">
        <v>21</v>
      </c>
      <c r="F197" t="s">
        <v>14</v>
      </c>
    </row>
    <row r="198" spans="1:6" x14ac:dyDescent="0.25">
      <c r="A198" t="s">
        <v>222</v>
      </c>
      <c r="B198" t="s">
        <v>12</v>
      </c>
      <c r="C198" t="s">
        <v>8</v>
      </c>
      <c r="D198">
        <v>47550</v>
      </c>
      <c r="E198" t="s">
        <v>21</v>
      </c>
      <c r="F198" t="s">
        <v>28</v>
      </c>
    </row>
    <row r="199" spans="1:6" x14ac:dyDescent="0.25">
      <c r="A199" t="s">
        <v>223</v>
      </c>
      <c r="B199" t="s">
        <v>7</v>
      </c>
      <c r="C199" t="s">
        <v>8</v>
      </c>
      <c r="D199">
        <v>78490</v>
      </c>
      <c r="E199" t="s">
        <v>17</v>
      </c>
      <c r="F199" t="s">
        <v>28</v>
      </c>
    </row>
    <row r="200" spans="1:6" x14ac:dyDescent="0.25">
      <c r="A200" t="s">
        <v>224</v>
      </c>
      <c r="B200" t="s">
        <v>12</v>
      </c>
      <c r="C200" t="s">
        <v>13</v>
      </c>
      <c r="D200">
        <v>61050</v>
      </c>
      <c r="E200" t="s">
        <v>17</v>
      </c>
      <c r="F200" t="s">
        <v>28</v>
      </c>
    </row>
    <row r="201" spans="1:6" x14ac:dyDescent="0.25">
      <c r="A201" t="s">
        <v>225</v>
      </c>
      <c r="B201" t="s">
        <v>7</v>
      </c>
      <c r="C201" t="s">
        <v>37</v>
      </c>
      <c r="D201">
        <v>36370</v>
      </c>
      <c r="E201" t="s">
        <v>9</v>
      </c>
      <c r="F201" t="s">
        <v>14</v>
      </c>
    </row>
    <row r="202" spans="1:6" x14ac:dyDescent="0.25">
      <c r="A202" t="s">
        <v>226</v>
      </c>
      <c r="B202" t="s">
        <v>7</v>
      </c>
      <c r="C202" t="s">
        <v>34</v>
      </c>
      <c r="D202">
        <v>47290</v>
      </c>
      <c r="E202" t="s">
        <v>17</v>
      </c>
      <c r="F202" t="s">
        <v>28</v>
      </c>
    </row>
    <row r="203" spans="1:6" x14ac:dyDescent="0.25">
      <c r="A203" t="s">
        <v>227</v>
      </c>
      <c r="B203" t="s">
        <v>7</v>
      </c>
      <c r="C203" t="s">
        <v>8</v>
      </c>
      <c r="D203">
        <v>79650</v>
      </c>
      <c r="E203" t="s">
        <v>21</v>
      </c>
      <c r="F203" t="s">
        <v>14</v>
      </c>
    </row>
    <row r="204" spans="1:6" x14ac:dyDescent="0.25">
      <c r="A204" t="s">
        <v>228</v>
      </c>
      <c r="B204" t="s">
        <v>7</v>
      </c>
      <c r="C204" t="s">
        <v>37</v>
      </c>
      <c r="D204">
        <v>119660</v>
      </c>
      <c r="E204" t="s">
        <v>17</v>
      </c>
      <c r="F204" t="s">
        <v>28</v>
      </c>
    </row>
    <row r="205" spans="1:6" x14ac:dyDescent="0.25">
      <c r="A205" t="s">
        <v>229</v>
      </c>
      <c r="B205" t="s">
        <v>12</v>
      </c>
      <c r="C205" t="s">
        <v>23</v>
      </c>
      <c r="D205">
        <v>43200</v>
      </c>
      <c r="E205" t="s">
        <v>17</v>
      </c>
      <c r="F205" t="s">
        <v>28</v>
      </c>
    </row>
    <row r="206" spans="1:6" x14ac:dyDescent="0.25">
      <c r="A206" t="s">
        <v>230</v>
      </c>
      <c r="B206" t="s">
        <v>12</v>
      </c>
      <c r="C206" t="s">
        <v>37</v>
      </c>
      <c r="D206">
        <v>89830</v>
      </c>
      <c r="E206" t="s">
        <v>21</v>
      </c>
      <c r="F206" t="s">
        <v>10</v>
      </c>
    </row>
    <row r="207" spans="1:6" x14ac:dyDescent="0.25">
      <c r="A207" t="s">
        <v>231</v>
      </c>
      <c r="B207" t="s">
        <v>7</v>
      </c>
      <c r="C207" t="s">
        <v>53</v>
      </c>
      <c r="D207">
        <v>91500</v>
      </c>
      <c r="E207" t="s">
        <v>9</v>
      </c>
      <c r="F207" t="s">
        <v>24</v>
      </c>
    </row>
    <row r="208" spans="1:6" x14ac:dyDescent="0.25">
      <c r="A208" t="s">
        <v>232</v>
      </c>
      <c r="B208" t="s">
        <v>12</v>
      </c>
      <c r="C208" t="s">
        <v>31</v>
      </c>
      <c r="D208">
        <v>29670</v>
      </c>
      <c r="E208" t="s">
        <v>9</v>
      </c>
      <c r="F208" t="s">
        <v>10</v>
      </c>
    </row>
    <row r="209" spans="1:6" x14ac:dyDescent="0.25">
      <c r="A209" t="s">
        <v>233</v>
      </c>
      <c r="B209" t="s">
        <v>12</v>
      </c>
      <c r="C209" t="s">
        <v>23</v>
      </c>
      <c r="D209">
        <v>75720</v>
      </c>
      <c r="E209" t="s">
        <v>17</v>
      </c>
      <c r="F209" t="s">
        <v>51</v>
      </c>
    </row>
    <row r="210" spans="1:6" x14ac:dyDescent="0.25">
      <c r="A210" t="s">
        <v>234</v>
      </c>
      <c r="B210" t="s">
        <v>7</v>
      </c>
      <c r="C210" t="s">
        <v>16</v>
      </c>
      <c r="D210">
        <v>34830</v>
      </c>
      <c r="E210" t="s">
        <v>9</v>
      </c>
      <c r="F210" t="s">
        <v>24</v>
      </c>
    </row>
    <row r="211" spans="1:6" x14ac:dyDescent="0.25">
      <c r="A211" t="s">
        <v>235</v>
      </c>
      <c r="B211" t="s">
        <v>12</v>
      </c>
      <c r="C211" t="s">
        <v>31</v>
      </c>
      <c r="D211">
        <v>81900</v>
      </c>
      <c r="E211" t="s">
        <v>17</v>
      </c>
      <c r="F211" t="s">
        <v>28</v>
      </c>
    </row>
    <row r="212" spans="1:6" x14ac:dyDescent="0.25">
      <c r="A212" t="s">
        <v>236</v>
      </c>
      <c r="B212" t="s">
        <v>12</v>
      </c>
      <c r="C212" t="s">
        <v>27</v>
      </c>
      <c r="D212">
        <v>42380</v>
      </c>
      <c r="E212" t="s">
        <v>21</v>
      </c>
      <c r="F212" t="s">
        <v>14</v>
      </c>
    </row>
    <row r="213" spans="1:6" x14ac:dyDescent="0.25">
      <c r="A213" t="s">
        <v>237</v>
      </c>
      <c r="B213" t="s">
        <v>7</v>
      </c>
      <c r="C213" t="s">
        <v>67</v>
      </c>
      <c r="D213">
        <v>32620</v>
      </c>
      <c r="E213" t="s">
        <v>21</v>
      </c>
      <c r="F213" t="s">
        <v>14</v>
      </c>
    </row>
    <row r="214" spans="1:6" x14ac:dyDescent="0.25">
      <c r="A214" t="s">
        <v>238</v>
      </c>
      <c r="B214" t="s">
        <v>7</v>
      </c>
      <c r="C214" t="s">
        <v>67</v>
      </c>
      <c r="D214">
        <v>72040</v>
      </c>
      <c r="E214" t="s">
        <v>17</v>
      </c>
      <c r="F214" t="s">
        <v>28</v>
      </c>
    </row>
    <row r="215" spans="1:6" x14ac:dyDescent="0.25">
      <c r="A215" t="s">
        <v>239</v>
      </c>
      <c r="B215" t="s">
        <v>7</v>
      </c>
      <c r="C215" t="s">
        <v>37</v>
      </c>
      <c r="D215">
        <v>77740</v>
      </c>
      <c r="E215" t="s">
        <v>17</v>
      </c>
      <c r="F215" t="s">
        <v>14</v>
      </c>
    </row>
    <row r="216" spans="1:6" x14ac:dyDescent="0.25">
      <c r="A216" t="s">
        <v>240</v>
      </c>
      <c r="B216" t="s">
        <v>7</v>
      </c>
      <c r="C216" t="s">
        <v>34</v>
      </c>
      <c r="D216">
        <v>102140</v>
      </c>
      <c r="E216" t="s">
        <v>21</v>
      </c>
      <c r="F216" t="s">
        <v>28</v>
      </c>
    </row>
    <row r="217" spans="1:6" x14ac:dyDescent="0.25">
      <c r="A217" t="s">
        <v>241</v>
      </c>
      <c r="B217" t="s">
        <v>7</v>
      </c>
      <c r="C217" t="s">
        <v>20</v>
      </c>
      <c r="D217">
        <v>48630</v>
      </c>
      <c r="E217" t="s">
        <v>21</v>
      </c>
      <c r="F217" t="s">
        <v>18</v>
      </c>
    </row>
    <row r="218" spans="1:6" x14ac:dyDescent="0.25">
      <c r="A218" t="s">
        <v>242</v>
      </c>
      <c r="B218" t="s">
        <v>12</v>
      </c>
      <c r="C218" t="s">
        <v>20</v>
      </c>
      <c r="D218">
        <v>105960</v>
      </c>
      <c r="E218" t="s">
        <v>17</v>
      </c>
      <c r="F218" t="s">
        <v>24</v>
      </c>
    </row>
    <row r="219" spans="1:6" x14ac:dyDescent="0.25">
      <c r="A219" t="s">
        <v>243</v>
      </c>
      <c r="B219" t="s">
        <v>12</v>
      </c>
      <c r="C219" t="s">
        <v>50</v>
      </c>
      <c r="D219">
        <v>97400</v>
      </c>
      <c r="E219" t="s">
        <v>9</v>
      </c>
      <c r="F219" t="s">
        <v>14</v>
      </c>
    </row>
    <row r="220" spans="1:6" x14ac:dyDescent="0.25">
      <c r="A220" t="s">
        <v>244</v>
      </c>
      <c r="C220" t="s">
        <v>27</v>
      </c>
      <c r="D220">
        <v>99450</v>
      </c>
      <c r="E220" t="s">
        <v>17</v>
      </c>
      <c r="F220" t="s">
        <v>28</v>
      </c>
    </row>
    <row r="221" spans="1:6" x14ac:dyDescent="0.25">
      <c r="A221" t="s">
        <v>245</v>
      </c>
      <c r="B221" t="s">
        <v>7</v>
      </c>
      <c r="C221" t="s">
        <v>53</v>
      </c>
      <c r="D221">
        <v>82670</v>
      </c>
      <c r="E221" t="s">
        <v>21</v>
      </c>
      <c r="F221" t="s">
        <v>28</v>
      </c>
    </row>
    <row r="222" spans="1:6" x14ac:dyDescent="0.25">
      <c r="A222" t="s">
        <v>246</v>
      </c>
      <c r="B222" t="s">
        <v>12</v>
      </c>
      <c r="C222" t="s">
        <v>67</v>
      </c>
      <c r="D222">
        <v>99200</v>
      </c>
      <c r="E222" t="s">
        <v>9</v>
      </c>
      <c r="F222" t="s">
        <v>10</v>
      </c>
    </row>
    <row r="223" spans="1:6" x14ac:dyDescent="0.25">
      <c r="A223" t="s">
        <v>247</v>
      </c>
      <c r="B223" t="s">
        <v>7</v>
      </c>
      <c r="C223" t="s">
        <v>20</v>
      </c>
      <c r="D223">
        <v>111480</v>
      </c>
      <c r="E223" t="s">
        <v>21</v>
      </c>
      <c r="F223" t="s">
        <v>24</v>
      </c>
    </row>
    <row r="224" spans="1:6" x14ac:dyDescent="0.25">
      <c r="A224" t="s">
        <v>248</v>
      </c>
      <c r="B224" t="s">
        <v>7</v>
      </c>
      <c r="C224" t="s">
        <v>50</v>
      </c>
      <c r="D224">
        <v>84940</v>
      </c>
      <c r="E224" t="s">
        <v>21</v>
      </c>
      <c r="F224" t="s">
        <v>24</v>
      </c>
    </row>
    <row r="225" spans="1:6" x14ac:dyDescent="0.25">
      <c r="A225" t="s">
        <v>249</v>
      </c>
      <c r="B225" t="s">
        <v>12</v>
      </c>
      <c r="C225" t="s">
        <v>23</v>
      </c>
      <c r="D225">
        <v>95340</v>
      </c>
      <c r="E225" t="s">
        <v>9</v>
      </c>
      <c r="F225" t="s">
        <v>24</v>
      </c>
    </row>
    <row r="226" spans="1:6" x14ac:dyDescent="0.25">
      <c r="A226" t="s">
        <v>250</v>
      </c>
      <c r="B226" t="s">
        <v>12</v>
      </c>
      <c r="C226" t="s">
        <v>37</v>
      </c>
      <c r="D226">
        <v>47960</v>
      </c>
      <c r="E226" t="s">
        <v>21</v>
      </c>
      <c r="F226" t="s">
        <v>24</v>
      </c>
    </row>
    <row r="227" spans="1:6" x14ac:dyDescent="0.25">
      <c r="A227" t="s">
        <v>251</v>
      </c>
      <c r="C227" t="s">
        <v>50</v>
      </c>
      <c r="D227">
        <v>56710</v>
      </c>
      <c r="E227" t="s">
        <v>21</v>
      </c>
      <c r="F227" t="s">
        <v>28</v>
      </c>
    </row>
    <row r="228" spans="1:6" x14ac:dyDescent="0.25">
      <c r="A228" t="s">
        <v>252</v>
      </c>
      <c r="B228" t="s">
        <v>12</v>
      </c>
      <c r="C228" t="s">
        <v>27</v>
      </c>
      <c r="D228">
        <v>71180</v>
      </c>
      <c r="E228" t="s">
        <v>17</v>
      </c>
      <c r="F228" t="s">
        <v>14</v>
      </c>
    </row>
    <row r="229" spans="1:6" x14ac:dyDescent="0.25">
      <c r="A229" t="s">
        <v>253</v>
      </c>
      <c r="B229" t="s">
        <v>7</v>
      </c>
      <c r="C229" t="s">
        <v>42</v>
      </c>
      <c r="E229" t="s">
        <v>17</v>
      </c>
      <c r="F229" t="s">
        <v>28</v>
      </c>
    </row>
    <row r="230" spans="1:6" x14ac:dyDescent="0.25">
      <c r="A230" t="s">
        <v>254</v>
      </c>
      <c r="B230" t="s">
        <v>12</v>
      </c>
      <c r="C230" t="s">
        <v>50</v>
      </c>
      <c r="D230">
        <v>78180</v>
      </c>
      <c r="E230" t="s">
        <v>9</v>
      </c>
      <c r="F230" t="s">
        <v>10</v>
      </c>
    </row>
    <row r="231" spans="1:6" x14ac:dyDescent="0.25">
      <c r="A231" t="s">
        <v>255</v>
      </c>
      <c r="B231" t="s">
        <v>12</v>
      </c>
      <c r="C231" t="s">
        <v>42</v>
      </c>
      <c r="D231">
        <v>84750</v>
      </c>
      <c r="E231" t="s">
        <v>9</v>
      </c>
      <c r="F231" t="s">
        <v>28</v>
      </c>
    </row>
    <row r="232" spans="1:6" x14ac:dyDescent="0.25">
      <c r="A232" t="s">
        <v>256</v>
      </c>
      <c r="B232" t="s">
        <v>12</v>
      </c>
      <c r="C232" t="s">
        <v>20</v>
      </c>
      <c r="D232">
        <v>98970</v>
      </c>
      <c r="E232" t="s">
        <v>9</v>
      </c>
      <c r="F232" t="s">
        <v>18</v>
      </c>
    </row>
    <row r="233" spans="1:6" x14ac:dyDescent="0.25">
      <c r="A233" t="s">
        <v>257</v>
      </c>
      <c r="B233" t="s">
        <v>7</v>
      </c>
      <c r="C233" t="s">
        <v>37</v>
      </c>
      <c r="D233">
        <v>76560</v>
      </c>
      <c r="E233" t="s">
        <v>21</v>
      </c>
      <c r="F233" t="s">
        <v>14</v>
      </c>
    </row>
    <row r="234" spans="1:6" x14ac:dyDescent="0.25">
      <c r="A234" t="s">
        <v>258</v>
      </c>
      <c r="B234" t="s">
        <v>7</v>
      </c>
      <c r="C234" t="s">
        <v>23</v>
      </c>
      <c r="E234" t="s">
        <v>21</v>
      </c>
      <c r="F234" t="s">
        <v>28</v>
      </c>
    </row>
    <row r="235" spans="1:6" x14ac:dyDescent="0.25">
      <c r="A235" t="s">
        <v>259</v>
      </c>
      <c r="B235" t="s">
        <v>12</v>
      </c>
      <c r="C235" t="s">
        <v>8</v>
      </c>
      <c r="D235">
        <v>35930</v>
      </c>
      <c r="E235" t="s">
        <v>17</v>
      </c>
      <c r="F235" t="s">
        <v>28</v>
      </c>
    </row>
    <row r="236" spans="1:6" x14ac:dyDescent="0.25">
      <c r="A236" t="s">
        <v>260</v>
      </c>
      <c r="B236" t="s">
        <v>12</v>
      </c>
      <c r="C236" t="s">
        <v>8</v>
      </c>
      <c r="D236">
        <v>104410</v>
      </c>
      <c r="E236" t="s">
        <v>21</v>
      </c>
      <c r="F236" t="s">
        <v>28</v>
      </c>
    </row>
    <row r="237" spans="1:6" x14ac:dyDescent="0.25">
      <c r="A237" t="s">
        <v>261</v>
      </c>
      <c r="B237" t="s">
        <v>12</v>
      </c>
      <c r="C237" t="s">
        <v>8</v>
      </c>
      <c r="D237">
        <v>84600</v>
      </c>
      <c r="E237" t="s">
        <v>17</v>
      </c>
      <c r="F237" t="s">
        <v>51</v>
      </c>
    </row>
    <row r="238" spans="1:6" x14ac:dyDescent="0.25">
      <c r="A238" t="s">
        <v>262</v>
      </c>
      <c r="B238" t="s">
        <v>12</v>
      </c>
      <c r="C238" t="s">
        <v>37</v>
      </c>
      <c r="D238">
        <v>68800</v>
      </c>
      <c r="E238" t="s">
        <v>9</v>
      </c>
      <c r="F238" t="s">
        <v>24</v>
      </c>
    </row>
    <row r="239" spans="1:6" x14ac:dyDescent="0.25">
      <c r="A239" t="s">
        <v>263</v>
      </c>
      <c r="B239" t="s">
        <v>7</v>
      </c>
      <c r="C239" t="s">
        <v>16</v>
      </c>
      <c r="D239">
        <v>38660</v>
      </c>
      <c r="E239" t="s">
        <v>9</v>
      </c>
      <c r="F239" t="s">
        <v>14</v>
      </c>
    </row>
    <row r="240" spans="1:6" x14ac:dyDescent="0.25">
      <c r="A240" t="s">
        <v>264</v>
      </c>
      <c r="B240" t="s">
        <v>7</v>
      </c>
      <c r="C240" t="s">
        <v>27</v>
      </c>
      <c r="D240">
        <v>86560</v>
      </c>
      <c r="E240" t="s">
        <v>17</v>
      </c>
      <c r="F240" t="s">
        <v>28</v>
      </c>
    </row>
    <row r="241" spans="1:6" x14ac:dyDescent="0.25">
      <c r="A241" t="s">
        <v>265</v>
      </c>
      <c r="B241" t="s">
        <v>12</v>
      </c>
      <c r="C241" t="s">
        <v>23</v>
      </c>
      <c r="D241">
        <v>107340</v>
      </c>
      <c r="E241" t="s">
        <v>17</v>
      </c>
      <c r="F241" t="s">
        <v>28</v>
      </c>
    </row>
    <row r="242" spans="1:6" x14ac:dyDescent="0.25">
      <c r="A242" t="s">
        <v>266</v>
      </c>
      <c r="B242" t="s">
        <v>12</v>
      </c>
      <c r="C242" t="s">
        <v>20</v>
      </c>
      <c r="D242">
        <v>111050</v>
      </c>
      <c r="E242" t="s">
        <v>17</v>
      </c>
      <c r="F242" t="s">
        <v>10</v>
      </c>
    </row>
    <row r="243" spans="1:6" x14ac:dyDescent="0.25">
      <c r="A243" t="s">
        <v>267</v>
      </c>
      <c r="B243" t="s">
        <v>12</v>
      </c>
      <c r="C243" t="s">
        <v>27</v>
      </c>
      <c r="E243" t="s">
        <v>17</v>
      </c>
      <c r="F243" t="s">
        <v>28</v>
      </c>
    </row>
    <row r="244" spans="1:6" x14ac:dyDescent="0.25">
      <c r="A244" t="s">
        <v>268</v>
      </c>
      <c r="B244" t="s">
        <v>7</v>
      </c>
      <c r="C244" t="s">
        <v>42</v>
      </c>
      <c r="D244">
        <v>75320</v>
      </c>
      <c r="E244" t="s">
        <v>9</v>
      </c>
      <c r="F244" t="s">
        <v>51</v>
      </c>
    </row>
    <row r="245" spans="1:6" x14ac:dyDescent="0.25">
      <c r="A245" t="s">
        <v>269</v>
      </c>
      <c r="B245" t="s">
        <v>7</v>
      </c>
      <c r="C245" t="s">
        <v>20</v>
      </c>
      <c r="D245">
        <v>57910</v>
      </c>
      <c r="E245" t="s">
        <v>21</v>
      </c>
      <c r="F245" t="s">
        <v>28</v>
      </c>
    </row>
    <row r="246" spans="1:6" x14ac:dyDescent="0.25">
      <c r="A246" t="s">
        <v>270</v>
      </c>
      <c r="B246" t="s">
        <v>12</v>
      </c>
      <c r="C246" t="s">
        <v>20</v>
      </c>
      <c r="D246">
        <v>29490</v>
      </c>
      <c r="E246" t="s">
        <v>17</v>
      </c>
      <c r="F246" t="s">
        <v>18</v>
      </c>
    </row>
    <row r="247" spans="1:6" x14ac:dyDescent="0.25">
      <c r="A247" t="s">
        <v>271</v>
      </c>
      <c r="B247" t="s">
        <v>7</v>
      </c>
      <c r="C247" t="s">
        <v>27</v>
      </c>
      <c r="D247">
        <v>52670</v>
      </c>
      <c r="E247" t="s">
        <v>21</v>
      </c>
      <c r="F247" t="s">
        <v>28</v>
      </c>
    </row>
    <row r="248" spans="1:6" x14ac:dyDescent="0.25">
      <c r="A248" t="s">
        <v>272</v>
      </c>
      <c r="B248" t="s">
        <v>7</v>
      </c>
      <c r="C248" t="s">
        <v>53</v>
      </c>
      <c r="D248">
        <v>48530</v>
      </c>
      <c r="E248" t="s">
        <v>17</v>
      </c>
      <c r="F248" t="s">
        <v>28</v>
      </c>
    </row>
    <row r="249" spans="1:6" x14ac:dyDescent="0.25">
      <c r="A249" t="s">
        <v>273</v>
      </c>
      <c r="B249" t="s">
        <v>7</v>
      </c>
      <c r="C249" t="s">
        <v>50</v>
      </c>
      <c r="D249">
        <v>105470</v>
      </c>
      <c r="E249" t="s">
        <v>17</v>
      </c>
      <c r="F249" t="s">
        <v>28</v>
      </c>
    </row>
    <row r="250" spans="1:6" x14ac:dyDescent="0.25">
      <c r="A250" t="s">
        <v>274</v>
      </c>
      <c r="B250" t="s">
        <v>12</v>
      </c>
      <c r="C250" t="s">
        <v>42</v>
      </c>
      <c r="D250">
        <v>98200</v>
      </c>
      <c r="E250" t="s">
        <v>17</v>
      </c>
      <c r="F250" t="s">
        <v>24</v>
      </c>
    </row>
    <row r="251" spans="1:6" x14ac:dyDescent="0.25">
      <c r="A251" t="s">
        <v>275</v>
      </c>
      <c r="B251" t="s">
        <v>7</v>
      </c>
      <c r="C251" t="s">
        <v>27</v>
      </c>
      <c r="D251">
        <v>106190</v>
      </c>
      <c r="E251" t="s">
        <v>17</v>
      </c>
      <c r="F251" t="s">
        <v>10</v>
      </c>
    </row>
    <row r="252" spans="1:6" x14ac:dyDescent="0.25">
      <c r="A252" t="s">
        <v>276</v>
      </c>
      <c r="B252" t="s">
        <v>7</v>
      </c>
      <c r="C252" t="s">
        <v>8</v>
      </c>
      <c r="D252">
        <v>52610</v>
      </c>
      <c r="E252" t="s">
        <v>9</v>
      </c>
      <c r="F252" t="s">
        <v>24</v>
      </c>
    </row>
    <row r="253" spans="1:6" x14ac:dyDescent="0.25">
      <c r="A253" t="s">
        <v>277</v>
      </c>
      <c r="C253" t="s">
        <v>20</v>
      </c>
      <c r="D253">
        <v>63450</v>
      </c>
      <c r="E253" t="s">
        <v>17</v>
      </c>
      <c r="F253" t="s">
        <v>14</v>
      </c>
    </row>
    <row r="254" spans="1:6" x14ac:dyDescent="0.25">
      <c r="A254" t="s">
        <v>278</v>
      </c>
      <c r="B254" t="s">
        <v>7</v>
      </c>
      <c r="C254" t="s">
        <v>53</v>
      </c>
      <c r="D254">
        <v>74710</v>
      </c>
      <c r="E254" t="s">
        <v>17</v>
      </c>
      <c r="F254" t="s">
        <v>14</v>
      </c>
    </row>
    <row r="255" spans="1:6" x14ac:dyDescent="0.25">
      <c r="A255" t="s">
        <v>279</v>
      </c>
      <c r="B255" t="s">
        <v>12</v>
      </c>
      <c r="C255" t="s">
        <v>8</v>
      </c>
      <c r="D255">
        <v>60330</v>
      </c>
      <c r="E255" t="s">
        <v>9</v>
      </c>
      <c r="F255" t="s">
        <v>28</v>
      </c>
    </row>
    <row r="256" spans="1:6" x14ac:dyDescent="0.25">
      <c r="A256" t="s">
        <v>280</v>
      </c>
      <c r="B256" t="s">
        <v>7</v>
      </c>
      <c r="C256" t="s">
        <v>8</v>
      </c>
      <c r="D256">
        <v>61010</v>
      </c>
      <c r="E256" t="s">
        <v>21</v>
      </c>
      <c r="F256" t="s">
        <v>28</v>
      </c>
    </row>
    <row r="257" spans="1:6" x14ac:dyDescent="0.25">
      <c r="A257" t="s">
        <v>281</v>
      </c>
      <c r="B257" t="s">
        <v>12</v>
      </c>
      <c r="C257" t="s">
        <v>53</v>
      </c>
      <c r="D257">
        <v>76300</v>
      </c>
      <c r="E257" t="s">
        <v>21</v>
      </c>
      <c r="F257" t="s">
        <v>18</v>
      </c>
    </row>
    <row r="258" spans="1:6" x14ac:dyDescent="0.25">
      <c r="A258" t="s">
        <v>282</v>
      </c>
      <c r="B258" t="s">
        <v>7</v>
      </c>
      <c r="C258" t="s">
        <v>67</v>
      </c>
      <c r="D258">
        <v>117020</v>
      </c>
      <c r="E258" t="s">
        <v>21</v>
      </c>
      <c r="F258" t="s">
        <v>28</v>
      </c>
    </row>
    <row r="259" spans="1:6" x14ac:dyDescent="0.25">
      <c r="A259" t="s">
        <v>283</v>
      </c>
      <c r="B259" t="s">
        <v>7</v>
      </c>
      <c r="C259" t="s">
        <v>67</v>
      </c>
      <c r="D259">
        <v>77130</v>
      </c>
      <c r="E259" t="s">
        <v>9</v>
      </c>
      <c r="F259" t="s">
        <v>51</v>
      </c>
    </row>
    <row r="260" spans="1:6" x14ac:dyDescent="0.25">
      <c r="A260" t="s">
        <v>284</v>
      </c>
      <c r="B260" t="s">
        <v>12</v>
      </c>
      <c r="C260" t="s">
        <v>27</v>
      </c>
      <c r="D260">
        <v>106930</v>
      </c>
      <c r="E260" t="s">
        <v>9</v>
      </c>
      <c r="F260" t="s">
        <v>28</v>
      </c>
    </row>
    <row r="261" spans="1:6" x14ac:dyDescent="0.25">
      <c r="A261" t="s">
        <v>285</v>
      </c>
      <c r="B261" t="s">
        <v>7</v>
      </c>
      <c r="C261" t="s">
        <v>13</v>
      </c>
      <c r="D261">
        <v>62090</v>
      </c>
      <c r="E261" t="s">
        <v>17</v>
      </c>
      <c r="F261" t="s">
        <v>10</v>
      </c>
    </row>
    <row r="262" spans="1:6" x14ac:dyDescent="0.25">
      <c r="A262" t="s">
        <v>286</v>
      </c>
      <c r="B262" t="s">
        <v>12</v>
      </c>
      <c r="C262" t="s">
        <v>67</v>
      </c>
      <c r="D262">
        <v>61330</v>
      </c>
      <c r="E262" t="s">
        <v>9</v>
      </c>
      <c r="F262" t="s">
        <v>28</v>
      </c>
    </row>
    <row r="263" spans="1:6" x14ac:dyDescent="0.25">
      <c r="A263" t="s">
        <v>287</v>
      </c>
      <c r="B263" t="s">
        <v>12</v>
      </c>
      <c r="C263" t="s">
        <v>42</v>
      </c>
      <c r="D263">
        <v>41600</v>
      </c>
      <c r="E263" t="s">
        <v>17</v>
      </c>
      <c r="F263" t="s">
        <v>18</v>
      </c>
    </row>
    <row r="264" spans="1:6" x14ac:dyDescent="0.25">
      <c r="A264" t="s">
        <v>288</v>
      </c>
      <c r="C264" t="s">
        <v>67</v>
      </c>
      <c r="D264">
        <v>105870</v>
      </c>
      <c r="E264" t="s">
        <v>17</v>
      </c>
      <c r="F264" t="s">
        <v>51</v>
      </c>
    </row>
    <row r="265" spans="1:6" x14ac:dyDescent="0.25">
      <c r="A265" t="s">
        <v>289</v>
      </c>
      <c r="B265" t="s">
        <v>12</v>
      </c>
      <c r="C265" t="s">
        <v>27</v>
      </c>
      <c r="D265">
        <v>118300</v>
      </c>
      <c r="E265" t="s">
        <v>21</v>
      </c>
      <c r="F265" t="s">
        <v>28</v>
      </c>
    </row>
    <row r="266" spans="1:6" x14ac:dyDescent="0.25">
      <c r="A266" t="s">
        <v>290</v>
      </c>
      <c r="B266" t="s">
        <v>12</v>
      </c>
      <c r="C266" t="s">
        <v>50</v>
      </c>
      <c r="D266">
        <v>99680</v>
      </c>
      <c r="E266" t="s">
        <v>21</v>
      </c>
      <c r="F266" t="s">
        <v>14</v>
      </c>
    </row>
    <row r="267" spans="1:6" x14ac:dyDescent="0.25">
      <c r="A267" t="s">
        <v>291</v>
      </c>
      <c r="B267" t="s">
        <v>12</v>
      </c>
      <c r="C267" t="s">
        <v>8</v>
      </c>
      <c r="D267">
        <v>101500</v>
      </c>
      <c r="E267" t="s">
        <v>17</v>
      </c>
      <c r="F267" t="s">
        <v>14</v>
      </c>
    </row>
    <row r="268" spans="1:6" x14ac:dyDescent="0.25">
      <c r="A268" t="s">
        <v>292</v>
      </c>
      <c r="B268" t="s">
        <v>12</v>
      </c>
      <c r="C268" t="s">
        <v>27</v>
      </c>
      <c r="D268">
        <v>46160</v>
      </c>
      <c r="E268" t="s">
        <v>21</v>
      </c>
      <c r="F268" t="s">
        <v>28</v>
      </c>
    </row>
    <row r="269" spans="1:6" x14ac:dyDescent="0.25">
      <c r="A269" t="s">
        <v>293</v>
      </c>
      <c r="B269" t="s">
        <v>12</v>
      </c>
      <c r="C269" t="s">
        <v>8</v>
      </c>
      <c r="D269">
        <v>41930</v>
      </c>
      <c r="E269" t="s">
        <v>9</v>
      </c>
      <c r="F269" t="s">
        <v>28</v>
      </c>
    </row>
    <row r="270" spans="1:6" x14ac:dyDescent="0.25">
      <c r="A270" t="s">
        <v>294</v>
      </c>
      <c r="B270" t="s">
        <v>7</v>
      </c>
      <c r="C270" t="s">
        <v>34</v>
      </c>
      <c r="D270">
        <v>73360</v>
      </c>
      <c r="E270" t="s">
        <v>21</v>
      </c>
      <c r="F270" t="s">
        <v>28</v>
      </c>
    </row>
    <row r="271" spans="1:6" x14ac:dyDescent="0.25">
      <c r="A271" t="s">
        <v>295</v>
      </c>
      <c r="B271" t="s">
        <v>12</v>
      </c>
      <c r="C271" t="s">
        <v>31</v>
      </c>
      <c r="D271">
        <v>119550</v>
      </c>
      <c r="E271" t="s">
        <v>17</v>
      </c>
      <c r="F271" t="s">
        <v>14</v>
      </c>
    </row>
    <row r="272" spans="1:6" x14ac:dyDescent="0.25">
      <c r="A272" t="s">
        <v>296</v>
      </c>
      <c r="B272" t="s">
        <v>12</v>
      </c>
      <c r="C272" t="s">
        <v>27</v>
      </c>
      <c r="D272">
        <v>53240</v>
      </c>
      <c r="E272" t="s">
        <v>17</v>
      </c>
      <c r="F272" t="s">
        <v>14</v>
      </c>
    </row>
    <row r="273" spans="1:6" x14ac:dyDescent="0.25">
      <c r="A273" t="s">
        <v>297</v>
      </c>
      <c r="B273" t="s">
        <v>7</v>
      </c>
      <c r="C273" t="s">
        <v>34</v>
      </c>
      <c r="D273">
        <v>90880</v>
      </c>
      <c r="E273" t="s">
        <v>21</v>
      </c>
      <c r="F273" t="s">
        <v>28</v>
      </c>
    </row>
    <row r="274" spans="1:6" x14ac:dyDescent="0.25">
      <c r="A274" t="s">
        <v>129</v>
      </c>
      <c r="B274" t="s">
        <v>12</v>
      </c>
      <c r="C274" t="s">
        <v>50</v>
      </c>
      <c r="D274">
        <v>44450</v>
      </c>
      <c r="E274" t="s">
        <v>21</v>
      </c>
      <c r="F274" t="s">
        <v>51</v>
      </c>
    </row>
    <row r="275" spans="1:6" x14ac:dyDescent="0.25">
      <c r="A275" t="s">
        <v>298</v>
      </c>
      <c r="B275" t="s">
        <v>7</v>
      </c>
      <c r="C275" t="s">
        <v>23</v>
      </c>
      <c r="D275">
        <v>47670</v>
      </c>
      <c r="E275" t="s">
        <v>17</v>
      </c>
      <c r="F275" t="s">
        <v>28</v>
      </c>
    </row>
    <row r="276" spans="1:6" x14ac:dyDescent="0.25">
      <c r="A276" t="s">
        <v>299</v>
      </c>
      <c r="B276" t="s">
        <v>12</v>
      </c>
      <c r="C276" t="s">
        <v>16</v>
      </c>
      <c r="D276">
        <v>111420</v>
      </c>
      <c r="E276" t="s">
        <v>21</v>
      </c>
      <c r="F276" t="s">
        <v>18</v>
      </c>
    </row>
    <row r="277" spans="1:6" x14ac:dyDescent="0.25">
      <c r="A277" t="s">
        <v>300</v>
      </c>
      <c r="B277" t="s">
        <v>7</v>
      </c>
      <c r="C277" t="s">
        <v>42</v>
      </c>
      <c r="D277">
        <v>47760</v>
      </c>
      <c r="E277" t="s">
        <v>21</v>
      </c>
      <c r="F277" t="s">
        <v>28</v>
      </c>
    </row>
    <row r="278" spans="1:6" x14ac:dyDescent="0.25">
      <c r="A278" t="s">
        <v>301</v>
      </c>
      <c r="B278" t="s">
        <v>7</v>
      </c>
      <c r="C278" t="s">
        <v>37</v>
      </c>
      <c r="D278">
        <v>47650</v>
      </c>
      <c r="E278" t="s">
        <v>17</v>
      </c>
      <c r="F278" t="s">
        <v>14</v>
      </c>
    </row>
    <row r="279" spans="1:6" x14ac:dyDescent="0.25">
      <c r="A279" t="s">
        <v>302</v>
      </c>
      <c r="B279" t="s">
        <v>12</v>
      </c>
      <c r="C279" t="s">
        <v>31</v>
      </c>
      <c r="D279">
        <v>103360</v>
      </c>
      <c r="E279" t="s">
        <v>17</v>
      </c>
      <c r="F279" t="s">
        <v>10</v>
      </c>
    </row>
    <row r="280" spans="1:6" x14ac:dyDescent="0.25">
      <c r="A280" t="s">
        <v>303</v>
      </c>
      <c r="B280" t="s">
        <v>7</v>
      </c>
      <c r="C280" t="s">
        <v>27</v>
      </c>
      <c r="D280">
        <v>48530</v>
      </c>
      <c r="E280" t="s">
        <v>21</v>
      </c>
      <c r="F280" t="s">
        <v>24</v>
      </c>
    </row>
    <row r="281" spans="1:6" x14ac:dyDescent="0.25">
      <c r="A281" t="s">
        <v>304</v>
      </c>
      <c r="B281" t="s">
        <v>7</v>
      </c>
      <c r="C281" t="s">
        <v>67</v>
      </c>
      <c r="D281">
        <v>72160</v>
      </c>
      <c r="E281" t="s">
        <v>21</v>
      </c>
      <c r="F281" t="s">
        <v>28</v>
      </c>
    </row>
    <row r="282" spans="1:6" x14ac:dyDescent="0.25">
      <c r="A282" t="s">
        <v>305</v>
      </c>
      <c r="B282" t="s">
        <v>7</v>
      </c>
      <c r="C282" t="s">
        <v>34</v>
      </c>
      <c r="D282">
        <v>60800</v>
      </c>
      <c r="E282" t="s">
        <v>17</v>
      </c>
      <c r="F282" t="s">
        <v>28</v>
      </c>
    </row>
    <row r="283" spans="1:6" x14ac:dyDescent="0.25">
      <c r="A283" t="s">
        <v>306</v>
      </c>
      <c r="B283" t="s">
        <v>12</v>
      </c>
      <c r="C283" t="s">
        <v>31</v>
      </c>
      <c r="D283">
        <v>74010</v>
      </c>
      <c r="E283" t="s">
        <v>21</v>
      </c>
      <c r="F283" t="s">
        <v>28</v>
      </c>
    </row>
    <row r="284" spans="1:6" x14ac:dyDescent="0.25">
      <c r="A284" t="s">
        <v>307</v>
      </c>
      <c r="B284" t="s">
        <v>12</v>
      </c>
      <c r="C284" t="s">
        <v>31</v>
      </c>
      <c r="D284">
        <v>60760</v>
      </c>
      <c r="E284" t="s">
        <v>9</v>
      </c>
      <c r="F284" t="s">
        <v>10</v>
      </c>
    </row>
    <row r="285" spans="1:6" x14ac:dyDescent="0.25">
      <c r="A285" t="s">
        <v>308</v>
      </c>
      <c r="B285" t="s">
        <v>7</v>
      </c>
      <c r="C285" t="s">
        <v>13</v>
      </c>
      <c r="D285">
        <v>74550</v>
      </c>
      <c r="E285" t="s">
        <v>9</v>
      </c>
      <c r="F285" t="s">
        <v>28</v>
      </c>
    </row>
    <row r="286" spans="1:6" x14ac:dyDescent="0.25">
      <c r="A286" t="s">
        <v>309</v>
      </c>
      <c r="B286" t="s">
        <v>7</v>
      </c>
      <c r="C286" t="s">
        <v>13</v>
      </c>
      <c r="D286">
        <v>32500</v>
      </c>
      <c r="E286" t="s">
        <v>17</v>
      </c>
      <c r="F286" t="s">
        <v>24</v>
      </c>
    </row>
    <row r="287" spans="1:6" x14ac:dyDescent="0.25">
      <c r="A287" t="s">
        <v>310</v>
      </c>
      <c r="B287" t="s">
        <v>7</v>
      </c>
      <c r="C287" t="s">
        <v>34</v>
      </c>
      <c r="D287">
        <v>110040</v>
      </c>
      <c r="E287" t="s">
        <v>9</v>
      </c>
      <c r="F287" t="s">
        <v>14</v>
      </c>
    </row>
    <row r="288" spans="1:6" x14ac:dyDescent="0.25">
      <c r="A288" t="s">
        <v>311</v>
      </c>
      <c r="B288" t="s">
        <v>12</v>
      </c>
      <c r="C288" t="s">
        <v>20</v>
      </c>
      <c r="D288">
        <v>99750</v>
      </c>
      <c r="E288" t="s">
        <v>21</v>
      </c>
      <c r="F288" t="s">
        <v>28</v>
      </c>
    </row>
    <row r="289" spans="1:6" x14ac:dyDescent="0.25">
      <c r="A289" t="s">
        <v>312</v>
      </c>
      <c r="B289" t="s">
        <v>12</v>
      </c>
      <c r="C289" t="s">
        <v>27</v>
      </c>
      <c r="D289">
        <v>92470</v>
      </c>
      <c r="E289" t="s">
        <v>21</v>
      </c>
      <c r="F289" t="s">
        <v>28</v>
      </c>
    </row>
    <row r="290" spans="1:6" x14ac:dyDescent="0.25">
      <c r="A290" t="s">
        <v>313</v>
      </c>
      <c r="B290" t="s">
        <v>12</v>
      </c>
      <c r="C290" t="s">
        <v>13</v>
      </c>
      <c r="D290">
        <v>109980</v>
      </c>
      <c r="E290" t="s">
        <v>21</v>
      </c>
      <c r="F290" t="s">
        <v>28</v>
      </c>
    </row>
    <row r="291" spans="1:6" x14ac:dyDescent="0.25">
      <c r="A291" t="s">
        <v>314</v>
      </c>
      <c r="B291" t="s">
        <v>7</v>
      </c>
      <c r="C291" t="s">
        <v>20</v>
      </c>
      <c r="D291">
        <v>41790</v>
      </c>
      <c r="E291" t="s">
        <v>17</v>
      </c>
      <c r="F291" t="s">
        <v>28</v>
      </c>
    </row>
    <row r="292" spans="1:6" x14ac:dyDescent="0.25">
      <c r="A292" t="s">
        <v>315</v>
      </c>
      <c r="B292" t="s">
        <v>7</v>
      </c>
      <c r="C292" t="s">
        <v>23</v>
      </c>
      <c r="D292">
        <v>86360</v>
      </c>
      <c r="E292" t="s">
        <v>21</v>
      </c>
      <c r="F292" t="s">
        <v>51</v>
      </c>
    </row>
    <row r="293" spans="1:6" x14ac:dyDescent="0.25">
      <c r="A293" t="s">
        <v>316</v>
      </c>
      <c r="B293" t="s">
        <v>7</v>
      </c>
      <c r="C293" t="s">
        <v>27</v>
      </c>
      <c r="D293">
        <v>65570</v>
      </c>
      <c r="E293" t="s">
        <v>21</v>
      </c>
      <c r="F293" t="s">
        <v>10</v>
      </c>
    </row>
    <row r="294" spans="1:6" x14ac:dyDescent="0.25">
      <c r="A294" t="s">
        <v>317</v>
      </c>
      <c r="B294" t="s">
        <v>12</v>
      </c>
      <c r="C294" t="s">
        <v>53</v>
      </c>
      <c r="D294">
        <v>69160</v>
      </c>
      <c r="E294" t="s">
        <v>21</v>
      </c>
      <c r="F294" t="s">
        <v>10</v>
      </c>
    </row>
    <row r="295" spans="1:6" x14ac:dyDescent="0.25">
      <c r="A295" t="s">
        <v>318</v>
      </c>
      <c r="B295" t="s">
        <v>12</v>
      </c>
      <c r="C295" t="s">
        <v>37</v>
      </c>
      <c r="D295">
        <v>41570</v>
      </c>
      <c r="E295" t="s">
        <v>17</v>
      </c>
      <c r="F295" t="s">
        <v>14</v>
      </c>
    </row>
    <row r="296" spans="1:6" x14ac:dyDescent="0.25">
      <c r="A296" t="s">
        <v>319</v>
      </c>
      <c r="B296" t="s">
        <v>12</v>
      </c>
      <c r="C296" t="s">
        <v>8</v>
      </c>
      <c r="D296">
        <v>83400</v>
      </c>
      <c r="E296" t="s">
        <v>21</v>
      </c>
      <c r="F296" t="s">
        <v>24</v>
      </c>
    </row>
    <row r="297" spans="1:6" x14ac:dyDescent="0.25">
      <c r="A297" t="s">
        <v>320</v>
      </c>
      <c r="B297" t="s">
        <v>7</v>
      </c>
      <c r="C297" t="s">
        <v>34</v>
      </c>
      <c r="D297">
        <v>67660</v>
      </c>
      <c r="E297" t="s">
        <v>21</v>
      </c>
      <c r="F297" t="s">
        <v>51</v>
      </c>
    </row>
    <row r="298" spans="1:6" x14ac:dyDescent="0.25">
      <c r="A298" t="s">
        <v>321</v>
      </c>
      <c r="B298" t="s">
        <v>12</v>
      </c>
      <c r="C298" t="s">
        <v>37</v>
      </c>
      <c r="D298">
        <v>34470</v>
      </c>
      <c r="E298" t="s">
        <v>17</v>
      </c>
      <c r="F298" t="s">
        <v>14</v>
      </c>
    </row>
    <row r="299" spans="1:6" x14ac:dyDescent="0.25">
      <c r="A299" t="s">
        <v>322</v>
      </c>
      <c r="B299" t="s">
        <v>12</v>
      </c>
      <c r="C299" t="s">
        <v>8</v>
      </c>
      <c r="D299">
        <v>38240</v>
      </c>
      <c r="E299" t="s">
        <v>21</v>
      </c>
      <c r="F299" t="s">
        <v>18</v>
      </c>
    </row>
    <row r="300" spans="1:6" x14ac:dyDescent="0.25">
      <c r="A300" t="s">
        <v>323</v>
      </c>
      <c r="B300" t="s">
        <v>12</v>
      </c>
      <c r="C300" t="s">
        <v>13</v>
      </c>
      <c r="D300">
        <v>78380</v>
      </c>
      <c r="E300" t="s">
        <v>17</v>
      </c>
      <c r="F300" t="s">
        <v>51</v>
      </c>
    </row>
    <row r="301" spans="1:6" x14ac:dyDescent="0.25">
      <c r="A301" t="s">
        <v>324</v>
      </c>
      <c r="B301" t="s">
        <v>12</v>
      </c>
      <c r="C301" t="s">
        <v>34</v>
      </c>
      <c r="D301">
        <v>72500</v>
      </c>
      <c r="E301" t="s">
        <v>9</v>
      </c>
      <c r="F301" t="s">
        <v>28</v>
      </c>
    </row>
    <row r="302" spans="1:6" x14ac:dyDescent="0.25">
      <c r="A302" t="s">
        <v>325</v>
      </c>
      <c r="B302" t="s">
        <v>12</v>
      </c>
      <c r="C302" t="s">
        <v>13</v>
      </c>
      <c r="D302">
        <v>115640</v>
      </c>
      <c r="E302" t="s">
        <v>17</v>
      </c>
      <c r="F302" t="s">
        <v>28</v>
      </c>
    </row>
    <row r="303" spans="1:6" x14ac:dyDescent="0.25">
      <c r="A303" t="s">
        <v>326</v>
      </c>
      <c r="B303" t="s">
        <v>7</v>
      </c>
      <c r="C303" t="s">
        <v>16</v>
      </c>
      <c r="D303">
        <v>46250</v>
      </c>
      <c r="E303" t="s">
        <v>17</v>
      </c>
      <c r="F303" t="s">
        <v>28</v>
      </c>
    </row>
    <row r="304" spans="1:6" x14ac:dyDescent="0.25">
      <c r="A304" t="s">
        <v>327</v>
      </c>
      <c r="B304" t="s">
        <v>12</v>
      </c>
      <c r="C304" t="s">
        <v>37</v>
      </c>
      <c r="D304">
        <v>82120</v>
      </c>
      <c r="E304" t="s">
        <v>9</v>
      </c>
      <c r="F304" t="s">
        <v>28</v>
      </c>
    </row>
    <row r="305" spans="1:6" x14ac:dyDescent="0.25">
      <c r="A305" t="s">
        <v>328</v>
      </c>
      <c r="B305" t="s">
        <v>7</v>
      </c>
      <c r="C305" t="s">
        <v>31</v>
      </c>
      <c r="D305">
        <v>108160</v>
      </c>
      <c r="E305" t="s">
        <v>9</v>
      </c>
      <c r="F305" t="s">
        <v>14</v>
      </c>
    </row>
    <row r="306" spans="1:6" x14ac:dyDescent="0.25">
      <c r="A306" t="s">
        <v>329</v>
      </c>
      <c r="B306" t="s">
        <v>7</v>
      </c>
      <c r="C306" t="s">
        <v>8</v>
      </c>
      <c r="D306">
        <v>108360</v>
      </c>
      <c r="E306" t="s">
        <v>17</v>
      </c>
      <c r="F306" t="s">
        <v>28</v>
      </c>
    </row>
    <row r="307" spans="1:6" x14ac:dyDescent="0.25">
      <c r="A307" t="s">
        <v>330</v>
      </c>
      <c r="B307" t="s">
        <v>12</v>
      </c>
      <c r="C307" t="s">
        <v>27</v>
      </c>
      <c r="D307">
        <v>77840</v>
      </c>
      <c r="E307" t="s">
        <v>17</v>
      </c>
      <c r="F307" t="s">
        <v>24</v>
      </c>
    </row>
    <row r="308" spans="1:6" x14ac:dyDescent="0.25">
      <c r="A308" t="s">
        <v>331</v>
      </c>
      <c r="B308" t="s">
        <v>12</v>
      </c>
      <c r="C308" t="s">
        <v>31</v>
      </c>
      <c r="D308">
        <v>85180</v>
      </c>
      <c r="E308" t="s">
        <v>21</v>
      </c>
      <c r="F308" t="s">
        <v>24</v>
      </c>
    </row>
    <row r="309" spans="1:6" x14ac:dyDescent="0.25">
      <c r="A309" t="s">
        <v>332</v>
      </c>
      <c r="B309" t="s">
        <v>7</v>
      </c>
      <c r="C309" t="s">
        <v>34</v>
      </c>
      <c r="D309">
        <v>85920</v>
      </c>
      <c r="E309" t="s">
        <v>17</v>
      </c>
      <c r="F309" t="s">
        <v>24</v>
      </c>
    </row>
    <row r="310" spans="1:6" x14ac:dyDescent="0.25">
      <c r="A310" t="s">
        <v>333</v>
      </c>
      <c r="B310" t="s">
        <v>12</v>
      </c>
      <c r="C310" t="s">
        <v>27</v>
      </c>
      <c r="D310">
        <v>106490</v>
      </c>
      <c r="E310" t="s">
        <v>21</v>
      </c>
      <c r="F310" t="s">
        <v>28</v>
      </c>
    </row>
    <row r="311" spans="1:6" x14ac:dyDescent="0.25">
      <c r="A311" t="s">
        <v>334</v>
      </c>
      <c r="B311" t="s">
        <v>7</v>
      </c>
      <c r="C311" t="s">
        <v>20</v>
      </c>
      <c r="D311">
        <v>38520</v>
      </c>
      <c r="E311" t="s">
        <v>9</v>
      </c>
      <c r="F311" t="s">
        <v>24</v>
      </c>
    </row>
    <row r="312" spans="1:6" x14ac:dyDescent="0.25">
      <c r="A312" t="s">
        <v>335</v>
      </c>
      <c r="B312" t="s">
        <v>12</v>
      </c>
      <c r="C312" t="s">
        <v>42</v>
      </c>
      <c r="D312">
        <v>49530</v>
      </c>
      <c r="E312" t="s">
        <v>9</v>
      </c>
      <c r="F312" t="s">
        <v>28</v>
      </c>
    </row>
    <row r="313" spans="1:6" x14ac:dyDescent="0.25">
      <c r="A313" t="s">
        <v>336</v>
      </c>
      <c r="B313" t="s">
        <v>7</v>
      </c>
      <c r="C313" t="s">
        <v>37</v>
      </c>
      <c r="D313">
        <v>29610</v>
      </c>
      <c r="E313" t="s">
        <v>17</v>
      </c>
      <c r="F313" t="s">
        <v>28</v>
      </c>
    </row>
    <row r="314" spans="1:6" x14ac:dyDescent="0.25">
      <c r="A314" t="s">
        <v>337</v>
      </c>
      <c r="B314" t="s">
        <v>7</v>
      </c>
      <c r="C314" t="s">
        <v>42</v>
      </c>
      <c r="D314">
        <v>84170</v>
      </c>
      <c r="E314" t="s">
        <v>17</v>
      </c>
      <c r="F314" t="s">
        <v>14</v>
      </c>
    </row>
    <row r="315" spans="1:6" x14ac:dyDescent="0.25">
      <c r="A315" t="s">
        <v>338</v>
      </c>
      <c r="B315" t="s">
        <v>7</v>
      </c>
      <c r="C315" t="s">
        <v>23</v>
      </c>
      <c r="D315">
        <v>92190</v>
      </c>
      <c r="E315" t="s">
        <v>17</v>
      </c>
      <c r="F315" t="s">
        <v>28</v>
      </c>
    </row>
    <row r="316" spans="1:6" x14ac:dyDescent="0.25">
      <c r="A316" t="s">
        <v>339</v>
      </c>
      <c r="B316" t="s">
        <v>7</v>
      </c>
      <c r="C316" t="s">
        <v>16</v>
      </c>
      <c r="D316">
        <v>82240</v>
      </c>
      <c r="E316" t="s">
        <v>9</v>
      </c>
      <c r="F316" t="s">
        <v>28</v>
      </c>
    </row>
    <row r="317" spans="1:6" x14ac:dyDescent="0.25">
      <c r="A317" t="s">
        <v>340</v>
      </c>
      <c r="B317" t="s">
        <v>7</v>
      </c>
      <c r="C317" t="s">
        <v>27</v>
      </c>
      <c r="D317">
        <v>87850</v>
      </c>
      <c r="E317" t="s">
        <v>21</v>
      </c>
      <c r="F317" t="s">
        <v>14</v>
      </c>
    </row>
    <row r="318" spans="1:6" x14ac:dyDescent="0.25">
      <c r="A318" t="s">
        <v>341</v>
      </c>
      <c r="B318" t="s">
        <v>7</v>
      </c>
      <c r="C318" t="s">
        <v>34</v>
      </c>
      <c r="D318">
        <v>43700</v>
      </c>
      <c r="E318" t="s">
        <v>9</v>
      </c>
      <c r="F318" t="s">
        <v>28</v>
      </c>
    </row>
    <row r="319" spans="1:6" x14ac:dyDescent="0.25">
      <c r="A319" t="s">
        <v>342</v>
      </c>
      <c r="B319" t="s">
        <v>12</v>
      </c>
      <c r="C319" t="s">
        <v>31</v>
      </c>
      <c r="D319">
        <v>88690</v>
      </c>
      <c r="E319" t="s">
        <v>9</v>
      </c>
      <c r="F319" t="s">
        <v>18</v>
      </c>
    </row>
    <row r="320" spans="1:6" x14ac:dyDescent="0.25">
      <c r="A320" t="s">
        <v>343</v>
      </c>
      <c r="B320" t="s">
        <v>7</v>
      </c>
      <c r="C320" t="s">
        <v>67</v>
      </c>
      <c r="D320">
        <v>31820</v>
      </c>
      <c r="E320" t="s">
        <v>9</v>
      </c>
      <c r="F320" t="s">
        <v>28</v>
      </c>
    </row>
    <row r="321" spans="1:6" x14ac:dyDescent="0.25">
      <c r="A321" t="s">
        <v>344</v>
      </c>
      <c r="B321" t="s">
        <v>7</v>
      </c>
      <c r="C321" t="s">
        <v>67</v>
      </c>
      <c r="D321">
        <v>70230</v>
      </c>
      <c r="E321" t="s">
        <v>21</v>
      </c>
      <c r="F321" t="s">
        <v>28</v>
      </c>
    </row>
    <row r="322" spans="1:6" x14ac:dyDescent="0.25">
      <c r="A322" t="s">
        <v>345</v>
      </c>
      <c r="B322" t="s">
        <v>7</v>
      </c>
      <c r="C322" t="s">
        <v>20</v>
      </c>
      <c r="D322">
        <v>96320</v>
      </c>
      <c r="E322" t="s">
        <v>17</v>
      </c>
      <c r="F322" t="s">
        <v>28</v>
      </c>
    </row>
    <row r="323" spans="1:6" x14ac:dyDescent="0.25">
      <c r="A323" t="s">
        <v>346</v>
      </c>
      <c r="B323" t="s">
        <v>7</v>
      </c>
      <c r="C323" t="s">
        <v>20</v>
      </c>
      <c r="D323">
        <v>90700</v>
      </c>
      <c r="E323" t="s">
        <v>17</v>
      </c>
      <c r="F323" t="s">
        <v>51</v>
      </c>
    </row>
    <row r="324" spans="1:6" x14ac:dyDescent="0.25">
      <c r="A324" t="s">
        <v>347</v>
      </c>
      <c r="B324" t="s">
        <v>12</v>
      </c>
      <c r="C324" t="s">
        <v>31</v>
      </c>
      <c r="D324">
        <v>67960</v>
      </c>
      <c r="E324" t="s">
        <v>21</v>
      </c>
      <c r="F324" t="s">
        <v>28</v>
      </c>
    </row>
    <row r="325" spans="1:6" x14ac:dyDescent="0.25">
      <c r="A325" t="s">
        <v>348</v>
      </c>
      <c r="B325" t="s">
        <v>7</v>
      </c>
      <c r="C325" t="s">
        <v>31</v>
      </c>
      <c r="D325">
        <v>103110</v>
      </c>
      <c r="E325" t="s">
        <v>21</v>
      </c>
      <c r="F325" t="s">
        <v>14</v>
      </c>
    </row>
    <row r="326" spans="1:6" x14ac:dyDescent="0.25">
      <c r="A326" t="s">
        <v>349</v>
      </c>
      <c r="B326" t="s">
        <v>12</v>
      </c>
      <c r="C326" t="s">
        <v>13</v>
      </c>
      <c r="D326">
        <v>59610</v>
      </c>
      <c r="E326" t="s">
        <v>9</v>
      </c>
      <c r="F326" t="s">
        <v>14</v>
      </c>
    </row>
    <row r="327" spans="1:6" x14ac:dyDescent="0.25">
      <c r="A327" t="s">
        <v>350</v>
      </c>
      <c r="B327" t="s">
        <v>7</v>
      </c>
      <c r="C327" t="s">
        <v>20</v>
      </c>
      <c r="D327">
        <v>66570</v>
      </c>
      <c r="E327" t="s">
        <v>17</v>
      </c>
      <c r="F327" t="s">
        <v>24</v>
      </c>
    </row>
    <row r="328" spans="1:6" x14ac:dyDescent="0.25">
      <c r="A328" t="s">
        <v>351</v>
      </c>
      <c r="B328" t="s">
        <v>12</v>
      </c>
      <c r="C328" t="s">
        <v>53</v>
      </c>
      <c r="D328">
        <v>74390</v>
      </c>
      <c r="E328" t="s">
        <v>21</v>
      </c>
      <c r="F328" t="s">
        <v>28</v>
      </c>
    </row>
    <row r="329" spans="1:6" x14ac:dyDescent="0.25">
      <c r="A329" t="s">
        <v>352</v>
      </c>
      <c r="C329" t="s">
        <v>13</v>
      </c>
      <c r="D329">
        <v>67010</v>
      </c>
      <c r="E329" t="s">
        <v>17</v>
      </c>
      <c r="F329" t="s">
        <v>14</v>
      </c>
    </row>
    <row r="330" spans="1:6" x14ac:dyDescent="0.25">
      <c r="A330" t="s">
        <v>353</v>
      </c>
      <c r="B330" t="s">
        <v>7</v>
      </c>
      <c r="C330" t="s">
        <v>50</v>
      </c>
      <c r="D330">
        <v>109710</v>
      </c>
      <c r="E330" t="s">
        <v>17</v>
      </c>
      <c r="F330" t="s">
        <v>28</v>
      </c>
    </row>
    <row r="331" spans="1:6" x14ac:dyDescent="0.25">
      <c r="A331" t="s">
        <v>354</v>
      </c>
      <c r="B331" t="s">
        <v>12</v>
      </c>
      <c r="C331" t="s">
        <v>37</v>
      </c>
      <c r="D331">
        <v>110910</v>
      </c>
      <c r="E331" t="s">
        <v>9</v>
      </c>
      <c r="F331" t="s">
        <v>28</v>
      </c>
    </row>
    <row r="332" spans="1:6" x14ac:dyDescent="0.25">
      <c r="A332" t="s">
        <v>180</v>
      </c>
      <c r="B332" t="s">
        <v>7</v>
      </c>
      <c r="C332" t="s">
        <v>20</v>
      </c>
      <c r="D332">
        <v>29770</v>
      </c>
      <c r="E332" t="s">
        <v>17</v>
      </c>
      <c r="F332" t="s">
        <v>10</v>
      </c>
    </row>
    <row r="333" spans="1:6" x14ac:dyDescent="0.25">
      <c r="A333" t="s">
        <v>355</v>
      </c>
      <c r="B333" t="s">
        <v>12</v>
      </c>
      <c r="C333" t="s">
        <v>23</v>
      </c>
      <c r="D333">
        <v>80060</v>
      </c>
      <c r="E333" t="s">
        <v>21</v>
      </c>
      <c r="F333" t="s">
        <v>10</v>
      </c>
    </row>
    <row r="334" spans="1:6" x14ac:dyDescent="0.25">
      <c r="A334" t="s">
        <v>356</v>
      </c>
      <c r="B334" t="s">
        <v>7</v>
      </c>
      <c r="C334" t="s">
        <v>42</v>
      </c>
      <c r="D334">
        <v>99750</v>
      </c>
      <c r="E334" t="s">
        <v>9</v>
      </c>
      <c r="F334" t="s">
        <v>28</v>
      </c>
    </row>
    <row r="335" spans="1:6" x14ac:dyDescent="0.25">
      <c r="A335" t="s">
        <v>357</v>
      </c>
      <c r="B335" t="s">
        <v>7</v>
      </c>
      <c r="C335" t="s">
        <v>8</v>
      </c>
      <c r="D335">
        <v>108250</v>
      </c>
      <c r="E335" t="s">
        <v>9</v>
      </c>
      <c r="F335" t="s">
        <v>28</v>
      </c>
    </row>
    <row r="336" spans="1:6" x14ac:dyDescent="0.25">
      <c r="A336" t="s">
        <v>358</v>
      </c>
      <c r="B336" t="s">
        <v>7</v>
      </c>
      <c r="C336" t="s">
        <v>37</v>
      </c>
      <c r="D336">
        <v>104340</v>
      </c>
      <c r="E336" t="s">
        <v>21</v>
      </c>
      <c r="F336" t="s">
        <v>28</v>
      </c>
    </row>
    <row r="337" spans="1:6" x14ac:dyDescent="0.25">
      <c r="A337" t="s">
        <v>359</v>
      </c>
      <c r="B337" t="s">
        <v>12</v>
      </c>
      <c r="C337" t="s">
        <v>37</v>
      </c>
      <c r="D337">
        <v>38440</v>
      </c>
      <c r="E337" t="s">
        <v>9</v>
      </c>
      <c r="F337" t="s">
        <v>28</v>
      </c>
    </row>
    <row r="338" spans="1:6" x14ac:dyDescent="0.25">
      <c r="A338" t="s">
        <v>360</v>
      </c>
      <c r="B338" t="s">
        <v>12</v>
      </c>
      <c r="C338" t="s">
        <v>23</v>
      </c>
      <c r="D338">
        <v>50800</v>
      </c>
      <c r="E338" t="s">
        <v>17</v>
      </c>
      <c r="F338" t="s">
        <v>10</v>
      </c>
    </row>
    <row r="339" spans="1:6" x14ac:dyDescent="0.25">
      <c r="A339" t="s">
        <v>361</v>
      </c>
      <c r="B339" t="s">
        <v>12</v>
      </c>
      <c r="C339" t="s">
        <v>16</v>
      </c>
      <c r="D339">
        <v>44400</v>
      </c>
      <c r="E339" t="s">
        <v>9</v>
      </c>
      <c r="F339" t="s">
        <v>28</v>
      </c>
    </row>
    <row r="340" spans="1:6" x14ac:dyDescent="0.25">
      <c r="A340" t="s">
        <v>362</v>
      </c>
      <c r="B340" t="s">
        <v>12</v>
      </c>
      <c r="C340" t="s">
        <v>13</v>
      </c>
      <c r="D340">
        <v>34980</v>
      </c>
      <c r="E340" t="s">
        <v>9</v>
      </c>
      <c r="F340" t="s">
        <v>14</v>
      </c>
    </row>
    <row r="341" spans="1:6" x14ac:dyDescent="0.25">
      <c r="A341" t="s">
        <v>363</v>
      </c>
      <c r="B341" t="s">
        <v>12</v>
      </c>
      <c r="C341" t="s">
        <v>23</v>
      </c>
      <c r="D341">
        <v>77260</v>
      </c>
      <c r="E341" t="s">
        <v>17</v>
      </c>
      <c r="F341" t="s">
        <v>28</v>
      </c>
    </row>
    <row r="342" spans="1:6" x14ac:dyDescent="0.25">
      <c r="A342" t="s">
        <v>364</v>
      </c>
      <c r="B342" t="s">
        <v>12</v>
      </c>
      <c r="C342" t="s">
        <v>20</v>
      </c>
      <c r="D342">
        <v>117940</v>
      </c>
      <c r="E342" t="s">
        <v>9</v>
      </c>
      <c r="F342" t="s">
        <v>28</v>
      </c>
    </row>
    <row r="343" spans="1:6" x14ac:dyDescent="0.25">
      <c r="A343" t="s">
        <v>365</v>
      </c>
      <c r="B343" t="s">
        <v>12</v>
      </c>
      <c r="C343" t="s">
        <v>20</v>
      </c>
      <c r="D343">
        <v>31040</v>
      </c>
      <c r="E343" t="s">
        <v>17</v>
      </c>
      <c r="F343" t="s">
        <v>14</v>
      </c>
    </row>
    <row r="344" spans="1:6" x14ac:dyDescent="0.25">
      <c r="A344" t="s">
        <v>366</v>
      </c>
      <c r="B344" t="s">
        <v>7</v>
      </c>
      <c r="C344" t="s">
        <v>16</v>
      </c>
      <c r="D344">
        <v>109140</v>
      </c>
      <c r="E344" t="s">
        <v>17</v>
      </c>
      <c r="F344" t="s">
        <v>28</v>
      </c>
    </row>
    <row r="345" spans="1:6" x14ac:dyDescent="0.25">
      <c r="A345" t="s">
        <v>367</v>
      </c>
      <c r="B345" t="s">
        <v>12</v>
      </c>
      <c r="C345" t="s">
        <v>16</v>
      </c>
      <c r="E345" t="s">
        <v>9</v>
      </c>
      <c r="F345" t="s">
        <v>28</v>
      </c>
    </row>
    <row r="346" spans="1:6" x14ac:dyDescent="0.25">
      <c r="A346" t="s">
        <v>368</v>
      </c>
      <c r="B346" t="s">
        <v>7</v>
      </c>
      <c r="C346" t="s">
        <v>31</v>
      </c>
      <c r="D346">
        <v>96370</v>
      </c>
      <c r="E346" t="s">
        <v>9</v>
      </c>
      <c r="F346" t="s">
        <v>18</v>
      </c>
    </row>
    <row r="347" spans="1:6" x14ac:dyDescent="0.25">
      <c r="A347" t="s">
        <v>369</v>
      </c>
      <c r="B347" t="s">
        <v>12</v>
      </c>
      <c r="C347" t="s">
        <v>31</v>
      </c>
      <c r="D347">
        <v>31170</v>
      </c>
      <c r="E347" t="s">
        <v>17</v>
      </c>
      <c r="F347" t="s">
        <v>28</v>
      </c>
    </row>
    <row r="348" spans="1:6" x14ac:dyDescent="0.25">
      <c r="A348" t="s">
        <v>370</v>
      </c>
      <c r="B348" t="s">
        <v>12</v>
      </c>
      <c r="C348" t="s">
        <v>34</v>
      </c>
      <c r="D348">
        <v>116240</v>
      </c>
      <c r="E348" t="s">
        <v>21</v>
      </c>
      <c r="F348" t="s">
        <v>28</v>
      </c>
    </row>
    <row r="349" spans="1:6" x14ac:dyDescent="0.25">
      <c r="A349" t="s">
        <v>371</v>
      </c>
      <c r="B349" t="s">
        <v>7</v>
      </c>
      <c r="C349" t="s">
        <v>37</v>
      </c>
      <c r="D349">
        <v>115190</v>
      </c>
      <c r="E349" t="s">
        <v>21</v>
      </c>
      <c r="F349" t="s">
        <v>51</v>
      </c>
    </row>
    <row r="350" spans="1:6" x14ac:dyDescent="0.25">
      <c r="A350" t="s">
        <v>372</v>
      </c>
      <c r="B350" t="s">
        <v>7</v>
      </c>
      <c r="C350" t="s">
        <v>42</v>
      </c>
      <c r="D350">
        <v>79570</v>
      </c>
      <c r="E350" t="s">
        <v>21</v>
      </c>
      <c r="F350" t="s">
        <v>28</v>
      </c>
    </row>
    <row r="351" spans="1:6" x14ac:dyDescent="0.25">
      <c r="A351" t="s">
        <v>373</v>
      </c>
      <c r="B351" t="s">
        <v>12</v>
      </c>
      <c r="C351" t="s">
        <v>42</v>
      </c>
      <c r="D351">
        <v>95680</v>
      </c>
      <c r="E351" t="s">
        <v>21</v>
      </c>
      <c r="F351" t="s">
        <v>10</v>
      </c>
    </row>
    <row r="352" spans="1:6" x14ac:dyDescent="0.25">
      <c r="A352" t="s">
        <v>374</v>
      </c>
      <c r="C352" t="s">
        <v>53</v>
      </c>
      <c r="D352">
        <v>107110</v>
      </c>
      <c r="E352" t="s">
        <v>17</v>
      </c>
      <c r="F352" t="s">
        <v>14</v>
      </c>
    </row>
    <row r="353" spans="1:6" x14ac:dyDescent="0.25">
      <c r="A353" t="s">
        <v>375</v>
      </c>
      <c r="B353" t="s">
        <v>7</v>
      </c>
      <c r="C353" t="s">
        <v>8</v>
      </c>
      <c r="D353">
        <v>66100</v>
      </c>
      <c r="E353" t="s">
        <v>21</v>
      </c>
      <c r="F353" t="s">
        <v>24</v>
      </c>
    </row>
    <row r="354" spans="1:6" x14ac:dyDescent="0.25">
      <c r="A354" t="s">
        <v>376</v>
      </c>
      <c r="B354" t="s">
        <v>7</v>
      </c>
      <c r="C354" t="s">
        <v>20</v>
      </c>
      <c r="D354">
        <v>39960</v>
      </c>
      <c r="E354" t="s">
        <v>17</v>
      </c>
      <c r="F354" t="s">
        <v>28</v>
      </c>
    </row>
    <row r="355" spans="1:6" x14ac:dyDescent="0.25">
      <c r="A355" t="s">
        <v>377</v>
      </c>
      <c r="B355" t="s">
        <v>7</v>
      </c>
      <c r="C355" t="s">
        <v>16</v>
      </c>
      <c r="D355">
        <v>111850</v>
      </c>
      <c r="E355" t="s">
        <v>21</v>
      </c>
      <c r="F355" t="s">
        <v>28</v>
      </c>
    </row>
    <row r="356" spans="1:6" x14ac:dyDescent="0.25">
      <c r="A356" t="s">
        <v>378</v>
      </c>
      <c r="B356" t="s">
        <v>12</v>
      </c>
      <c r="C356" t="s">
        <v>34</v>
      </c>
      <c r="D356">
        <v>29890</v>
      </c>
      <c r="E356" t="s">
        <v>21</v>
      </c>
      <c r="F356" t="s">
        <v>14</v>
      </c>
    </row>
    <row r="357" spans="1:6" x14ac:dyDescent="0.25">
      <c r="A357" t="s">
        <v>379</v>
      </c>
      <c r="B357" t="s">
        <v>7</v>
      </c>
      <c r="C357" t="s">
        <v>67</v>
      </c>
      <c r="D357">
        <v>48170</v>
      </c>
      <c r="E357" t="s">
        <v>17</v>
      </c>
      <c r="F357" t="s">
        <v>14</v>
      </c>
    </row>
    <row r="358" spans="1:6" x14ac:dyDescent="0.25">
      <c r="A358" t="s">
        <v>380</v>
      </c>
      <c r="B358" t="s">
        <v>12</v>
      </c>
      <c r="C358" t="s">
        <v>31</v>
      </c>
      <c r="D358">
        <v>99200</v>
      </c>
      <c r="E358" t="s">
        <v>9</v>
      </c>
      <c r="F358" t="s">
        <v>14</v>
      </c>
    </row>
    <row r="359" spans="1:6" x14ac:dyDescent="0.25">
      <c r="A359" t="s">
        <v>381</v>
      </c>
      <c r="B359" t="s">
        <v>7</v>
      </c>
      <c r="C359" t="s">
        <v>20</v>
      </c>
      <c r="D359">
        <v>72840</v>
      </c>
      <c r="E359" t="s">
        <v>17</v>
      </c>
      <c r="F359" t="s">
        <v>28</v>
      </c>
    </row>
    <row r="360" spans="1:6" x14ac:dyDescent="0.25">
      <c r="A360" t="s">
        <v>382</v>
      </c>
      <c r="B360" t="s">
        <v>7</v>
      </c>
      <c r="C360" t="s">
        <v>13</v>
      </c>
      <c r="D360">
        <v>68970</v>
      </c>
      <c r="E360" t="s">
        <v>21</v>
      </c>
      <c r="F360" t="s">
        <v>28</v>
      </c>
    </row>
    <row r="361" spans="1:6" x14ac:dyDescent="0.25">
      <c r="A361" t="s">
        <v>383</v>
      </c>
      <c r="B361" t="s">
        <v>7</v>
      </c>
      <c r="C361" t="s">
        <v>67</v>
      </c>
      <c r="D361">
        <v>89090</v>
      </c>
      <c r="E361" t="s">
        <v>21</v>
      </c>
      <c r="F361" t="s">
        <v>14</v>
      </c>
    </row>
    <row r="362" spans="1:6" x14ac:dyDescent="0.25">
      <c r="A362" t="s">
        <v>209</v>
      </c>
      <c r="B362" t="s">
        <v>12</v>
      </c>
      <c r="C362" t="s">
        <v>13</v>
      </c>
      <c r="D362">
        <v>86940</v>
      </c>
      <c r="E362" t="s">
        <v>17</v>
      </c>
      <c r="F362" t="s">
        <v>24</v>
      </c>
    </row>
    <row r="363" spans="1:6" x14ac:dyDescent="0.25">
      <c r="A363" t="s">
        <v>384</v>
      </c>
      <c r="B363" t="s">
        <v>7</v>
      </c>
      <c r="C363" t="s">
        <v>34</v>
      </c>
      <c r="D363">
        <v>118450</v>
      </c>
      <c r="E363" t="s">
        <v>21</v>
      </c>
      <c r="F363" t="s">
        <v>10</v>
      </c>
    </row>
    <row r="364" spans="1:6" x14ac:dyDescent="0.25">
      <c r="A364" t="s">
        <v>385</v>
      </c>
      <c r="B364" t="s">
        <v>7</v>
      </c>
      <c r="C364" t="s">
        <v>37</v>
      </c>
      <c r="D364">
        <v>80360</v>
      </c>
      <c r="E364" t="s">
        <v>21</v>
      </c>
      <c r="F364" t="s">
        <v>28</v>
      </c>
    </row>
    <row r="365" spans="1:6" x14ac:dyDescent="0.25">
      <c r="A365" t="s">
        <v>386</v>
      </c>
      <c r="B365" t="s">
        <v>12</v>
      </c>
      <c r="C365" t="s">
        <v>67</v>
      </c>
      <c r="D365">
        <v>104770</v>
      </c>
      <c r="E365" t="s">
        <v>17</v>
      </c>
      <c r="F365" t="s">
        <v>28</v>
      </c>
    </row>
    <row r="366" spans="1:6" x14ac:dyDescent="0.25">
      <c r="A366" t="s">
        <v>387</v>
      </c>
      <c r="B366" t="s">
        <v>12</v>
      </c>
      <c r="C366" t="s">
        <v>53</v>
      </c>
      <c r="D366">
        <v>70440</v>
      </c>
      <c r="E366" t="s">
        <v>17</v>
      </c>
      <c r="F366" t="s">
        <v>10</v>
      </c>
    </row>
    <row r="367" spans="1:6" x14ac:dyDescent="0.25">
      <c r="A367" t="s">
        <v>388</v>
      </c>
      <c r="B367" t="s">
        <v>7</v>
      </c>
      <c r="C367" t="s">
        <v>23</v>
      </c>
      <c r="D367">
        <v>56900</v>
      </c>
      <c r="E367" t="s">
        <v>17</v>
      </c>
      <c r="F367" t="s">
        <v>28</v>
      </c>
    </row>
    <row r="368" spans="1:6" x14ac:dyDescent="0.25">
      <c r="A368" t="s">
        <v>303</v>
      </c>
      <c r="B368" t="s">
        <v>7</v>
      </c>
      <c r="C368" t="s">
        <v>27</v>
      </c>
      <c r="D368">
        <v>48530</v>
      </c>
      <c r="E368" t="s">
        <v>9</v>
      </c>
      <c r="F368" t="s">
        <v>10</v>
      </c>
    </row>
    <row r="369" spans="1:6" x14ac:dyDescent="0.25">
      <c r="A369" t="s">
        <v>389</v>
      </c>
      <c r="B369" t="s">
        <v>7</v>
      </c>
      <c r="C369" t="s">
        <v>50</v>
      </c>
      <c r="E369" t="s">
        <v>17</v>
      </c>
      <c r="F369" t="s">
        <v>28</v>
      </c>
    </row>
    <row r="370" spans="1:6" x14ac:dyDescent="0.25">
      <c r="A370" t="s">
        <v>390</v>
      </c>
      <c r="C370" t="s">
        <v>31</v>
      </c>
      <c r="D370">
        <v>72450</v>
      </c>
      <c r="E370" t="s">
        <v>17</v>
      </c>
      <c r="F370" t="s">
        <v>18</v>
      </c>
    </row>
    <row r="371" spans="1:6" x14ac:dyDescent="0.25">
      <c r="A371" t="s">
        <v>391</v>
      </c>
      <c r="B371" t="s">
        <v>12</v>
      </c>
      <c r="C371" t="s">
        <v>34</v>
      </c>
      <c r="D371">
        <v>34500</v>
      </c>
      <c r="E371" t="s">
        <v>17</v>
      </c>
      <c r="F371" t="s">
        <v>18</v>
      </c>
    </row>
    <row r="372" spans="1:6" x14ac:dyDescent="0.25">
      <c r="A372" t="s">
        <v>392</v>
      </c>
      <c r="C372" t="s">
        <v>13</v>
      </c>
      <c r="D372">
        <v>118800</v>
      </c>
      <c r="E372" t="s">
        <v>21</v>
      </c>
      <c r="F372" t="s">
        <v>10</v>
      </c>
    </row>
    <row r="373" spans="1:6" x14ac:dyDescent="0.25">
      <c r="A373" t="s">
        <v>393</v>
      </c>
      <c r="B373" t="s">
        <v>7</v>
      </c>
      <c r="C373" t="s">
        <v>53</v>
      </c>
      <c r="E373" t="s">
        <v>9</v>
      </c>
      <c r="F373" t="s">
        <v>18</v>
      </c>
    </row>
    <row r="374" spans="1:6" x14ac:dyDescent="0.25">
      <c r="A374" t="s">
        <v>394</v>
      </c>
      <c r="B374" t="s">
        <v>12</v>
      </c>
      <c r="C374" t="s">
        <v>50</v>
      </c>
      <c r="D374">
        <v>115080</v>
      </c>
      <c r="E374" t="s">
        <v>17</v>
      </c>
      <c r="F374" t="s">
        <v>10</v>
      </c>
    </row>
    <row r="375" spans="1:6" x14ac:dyDescent="0.25">
      <c r="A375" t="s">
        <v>395</v>
      </c>
      <c r="B375" t="s">
        <v>12</v>
      </c>
      <c r="C375" t="s">
        <v>8</v>
      </c>
      <c r="D375">
        <v>39540</v>
      </c>
      <c r="E375" t="s">
        <v>9</v>
      </c>
      <c r="F375" t="s">
        <v>28</v>
      </c>
    </row>
    <row r="376" spans="1:6" x14ac:dyDescent="0.25">
      <c r="A376" t="s">
        <v>73</v>
      </c>
      <c r="B376" t="s">
        <v>12</v>
      </c>
      <c r="C376" t="s">
        <v>27</v>
      </c>
      <c r="D376">
        <v>110770</v>
      </c>
      <c r="E376" t="s">
        <v>17</v>
      </c>
      <c r="F376" t="s">
        <v>28</v>
      </c>
    </row>
    <row r="377" spans="1:6" x14ac:dyDescent="0.25">
      <c r="A377" t="s">
        <v>396</v>
      </c>
      <c r="B377" t="s">
        <v>7</v>
      </c>
      <c r="C377" t="s">
        <v>42</v>
      </c>
      <c r="E377" t="s">
        <v>9</v>
      </c>
      <c r="F377" t="s">
        <v>14</v>
      </c>
    </row>
    <row r="378" spans="1:6" x14ac:dyDescent="0.25">
      <c r="A378" t="s">
        <v>397</v>
      </c>
      <c r="B378" t="s">
        <v>7</v>
      </c>
      <c r="C378" t="s">
        <v>53</v>
      </c>
      <c r="D378">
        <v>106460</v>
      </c>
      <c r="E378" t="s">
        <v>9</v>
      </c>
      <c r="F378" t="s">
        <v>24</v>
      </c>
    </row>
    <row r="379" spans="1:6" x14ac:dyDescent="0.25">
      <c r="A379" t="s">
        <v>398</v>
      </c>
      <c r="B379" t="s">
        <v>7</v>
      </c>
      <c r="C379" t="s">
        <v>23</v>
      </c>
      <c r="D379">
        <v>94530</v>
      </c>
      <c r="E379" t="s">
        <v>17</v>
      </c>
      <c r="F379" t="s">
        <v>24</v>
      </c>
    </row>
    <row r="380" spans="1:6" x14ac:dyDescent="0.25">
      <c r="A380" t="s">
        <v>399</v>
      </c>
      <c r="B380" t="s">
        <v>12</v>
      </c>
      <c r="C380" t="s">
        <v>34</v>
      </c>
      <c r="D380">
        <v>71590</v>
      </c>
      <c r="E380" t="s">
        <v>9</v>
      </c>
      <c r="F380" t="s">
        <v>24</v>
      </c>
    </row>
    <row r="381" spans="1:6" x14ac:dyDescent="0.25">
      <c r="A381" t="s">
        <v>400</v>
      </c>
      <c r="B381" t="s">
        <v>12</v>
      </c>
      <c r="C381" t="s">
        <v>67</v>
      </c>
      <c r="D381">
        <v>104900</v>
      </c>
      <c r="E381" t="s">
        <v>17</v>
      </c>
      <c r="F381" t="s">
        <v>14</v>
      </c>
    </row>
    <row r="382" spans="1:6" x14ac:dyDescent="0.25">
      <c r="A382" t="s">
        <v>401</v>
      </c>
      <c r="B382" t="s">
        <v>7</v>
      </c>
      <c r="C382" t="s">
        <v>13</v>
      </c>
      <c r="D382">
        <v>81790</v>
      </c>
      <c r="E382" t="s">
        <v>9</v>
      </c>
      <c r="F382" t="s">
        <v>18</v>
      </c>
    </row>
    <row r="383" spans="1:6" x14ac:dyDescent="0.25">
      <c r="A383" t="s">
        <v>402</v>
      </c>
      <c r="B383" t="s">
        <v>12</v>
      </c>
      <c r="C383" t="s">
        <v>23</v>
      </c>
      <c r="D383">
        <v>33050</v>
      </c>
      <c r="E383" t="s">
        <v>17</v>
      </c>
      <c r="F383" t="s">
        <v>28</v>
      </c>
    </row>
    <row r="384" spans="1:6" x14ac:dyDescent="0.25">
      <c r="A384" t="s">
        <v>119</v>
      </c>
      <c r="B384" t="s">
        <v>7</v>
      </c>
      <c r="C384" t="s">
        <v>67</v>
      </c>
      <c r="D384">
        <v>89610</v>
      </c>
      <c r="E384" t="s">
        <v>21</v>
      </c>
      <c r="F384" t="s">
        <v>10</v>
      </c>
    </row>
    <row r="385" spans="1:6" x14ac:dyDescent="0.25">
      <c r="A385" t="s">
        <v>403</v>
      </c>
      <c r="B385" t="s">
        <v>12</v>
      </c>
      <c r="C385" t="s">
        <v>37</v>
      </c>
      <c r="D385">
        <v>96920</v>
      </c>
      <c r="E385" t="s">
        <v>17</v>
      </c>
      <c r="F385" t="s">
        <v>51</v>
      </c>
    </row>
    <row r="386" spans="1:6" x14ac:dyDescent="0.25">
      <c r="A386" t="s">
        <v>404</v>
      </c>
      <c r="B386" t="s">
        <v>7</v>
      </c>
      <c r="C386" t="s">
        <v>16</v>
      </c>
      <c r="D386">
        <v>105470</v>
      </c>
      <c r="E386" t="s">
        <v>17</v>
      </c>
      <c r="F386" t="s">
        <v>18</v>
      </c>
    </row>
    <row r="387" spans="1:6" x14ac:dyDescent="0.25">
      <c r="A387" t="s">
        <v>405</v>
      </c>
      <c r="B387" t="s">
        <v>12</v>
      </c>
      <c r="C387" t="s">
        <v>53</v>
      </c>
      <c r="D387">
        <v>98400</v>
      </c>
      <c r="E387" t="s">
        <v>9</v>
      </c>
      <c r="F387" t="s">
        <v>28</v>
      </c>
    </row>
    <row r="388" spans="1:6" x14ac:dyDescent="0.25">
      <c r="A388" t="s">
        <v>156</v>
      </c>
      <c r="B388" t="s">
        <v>12</v>
      </c>
      <c r="C388" t="s">
        <v>53</v>
      </c>
      <c r="E388" t="s">
        <v>9</v>
      </c>
      <c r="F388" t="s">
        <v>10</v>
      </c>
    </row>
    <row r="389" spans="1:6" x14ac:dyDescent="0.25">
      <c r="A389" t="s">
        <v>406</v>
      </c>
      <c r="B389" t="s">
        <v>12</v>
      </c>
      <c r="C389" t="s">
        <v>27</v>
      </c>
      <c r="D389">
        <v>50020</v>
      </c>
      <c r="E389" t="s">
        <v>17</v>
      </c>
      <c r="F389" t="s">
        <v>28</v>
      </c>
    </row>
    <row r="390" spans="1:6" x14ac:dyDescent="0.25">
      <c r="A390" t="s">
        <v>407</v>
      </c>
      <c r="B390" t="s">
        <v>7</v>
      </c>
      <c r="C390" t="s">
        <v>42</v>
      </c>
      <c r="D390">
        <v>71210</v>
      </c>
      <c r="E390" t="s">
        <v>21</v>
      </c>
      <c r="F390" t="s">
        <v>28</v>
      </c>
    </row>
    <row r="391" spans="1:6" x14ac:dyDescent="0.25">
      <c r="A391" t="s">
        <v>408</v>
      </c>
      <c r="B391" t="s">
        <v>7</v>
      </c>
      <c r="C391" t="s">
        <v>13</v>
      </c>
      <c r="D391">
        <v>53180</v>
      </c>
      <c r="E391" t="s">
        <v>21</v>
      </c>
      <c r="F391" t="s">
        <v>28</v>
      </c>
    </row>
    <row r="392" spans="1:6" x14ac:dyDescent="0.25">
      <c r="A392" t="s">
        <v>409</v>
      </c>
      <c r="B392" t="s">
        <v>12</v>
      </c>
      <c r="C392" t="s">
        <v>27</v>
      </c>
      <c r="D392">
        <v>107020</v>
      </c>
      <c r="E392" t="s">
        <v>21</v>
      </c>
      <c r="F392" t="s">
        <v>28</v>
      </c>
    </row>
    <row r="393" spans="1:6" x14ac:dyDescent="0.25">
      <c r="A393" t="s">
        <v>410</v>
      </c>
      <c r="B393" t="s">
        <v>12</v>
      </c>
      <c r="C393" t="s">
        <v>50</v>
      </c>
      <c r="D393">
        <v>58400</v>
      </c>
      <c r="E393" t="s">
        <v>9</v>
      </c>
      <c r="F393" t="s">
        <v>28</v>
      </c>
    </row>
    <row r="394" spans="1:6" x14ac:dyDescent="0.25">
      <c r="A394" t="s">
        <v>411</v>
      </c>
      <c r="B394" t="s">
        <v>12</v>
      </c>
      <c r="C394" t="s">
        <v>53</v>
      </c>
      <c r="D394">
        <v>49000</v>
      </c>
      <c r="E394" t="s">
        <v>17</v>
      </c>
      <c r="F394" t="s">
        <v>14</v>
      </c>
    </row>
    <row r="395" spans="1:6" x14ac:dyDescent="0.25">
      <c r="A395" t="s">
        <v>412</v>
      </c>
      <c r="B395" t="s">
        <v>12</v>
      </c>
      <c r="C395" t="s">
        <v>31</v>
      </c>
      <c r="D395">
        <v>85530</v>
      </c>
      <c r="E395" t="s">
        <v>21</v>
      </c>
      <c r="F395" t="s">
        <v>28</v>
      </c>
    </row>
    <row r="396" spans="1:6" x14ac:dyDescent="0.25">
      <c r="A396" t="s">
        <v>413</v>
      </c>
      <c r="B396" t="s">
        <v>7</v>
      </c>
      <c r="C396" t="s">
        <v>42</v>
      </c>
      <c r="D396">
        <v>53950</v>
      </c>
      <c r="E396" t="s">
        <v>9</v>
      </c>
      <c r="F396" t="s">
        <v>24</v>
      </c>
    </row>
    <row r="397" spans="1:6" x14ac:dyDescent="0.25">
      <c r="A397" t="s">
        <v>414</v>
      </c>
      <c r="B397" t="s">
        <v>7</v>
      </c>
      <c r="C397" t="s">
        <v>31</v>
      </c>
      <c r="D397">
        <v>41140</v>
      </c>
      <c r="E397" t="s">
        <v>9</v>
      </c>
      <c r="F397" t="s">
        <v>28</v>
      </c>
    </row>
    <row r="398" spans="1:6" x14ac:dyDescent="0.25">
      <c r="A398" t="s">
        <v>415</v>
      </c>
      <c r="B398" t="s">
        <v>7</v>
      </c>
      <c r="C398" t="s">
        <v>53</v>
      </c>
      <c r="D398">
        <v>49920</v>
      </c>
      <c r="E398" t="s">
        <v>21</v>
      </c>
      <c r="F398" t="s">
        <v>28</v>
      </c>
    </row>
    <row r="399" spans="1:6" x14ac:dyDescent="0.25">
      <c r="A399" t="s">
        <v>416</v>
      </c>
      <c r="B399" t="s">
        <v>12</v>
      </c>
      <c r="C399" t="s">
        <v>50</v>
      </c>
      <c r="D399">
        <v>39700</v>
      </c>
      <c r="E399" t="s">
        <v>9</v>
      </c>
      <c r="F399" t="s">
        <v>28</v>
      </c>
    </row>
    <row r="400" spans="1:6" x14ac:dyDescent="0.25">
      <c r="A400" t="s">
        <v>417</v>
      </c>
      <c r="B400" t="s">
        <v>7</v>
      </c>
      <c r="C400" t="s">
        <v>8</v>
      </c>
      <c r="D400">
        <v>53540</v>
      </c>
      <c r="E400" t="s">
        <v>17</v>
      </c>
      <c r="F400" t="s">
        <v>24</v>
      </c>
    </row>
    <row r="401" spans="1:6" x14ac:dyDescent="0.25">
      <c r="A401" t="s">
        <v>418</v>
      </c>
      <c r="B401" t="s">
        <v>12</v>
      </c>
      <c r="C401" t="s">
        <v>67</v>
      </c>
      <c r="D401">
        <v>43900</v>
      </c>
      <c r="E401" t="s">
        <v>21</v>
      </c>
      <c r="F401" t="s">
        <v>14</v>
      </c>
    </row>
    <row r="402" spans="1:6" x14ac:dyDescent="0.25">
      <c r="A402" t="s">
        <v>419</v>
      </c>
      <c r="B402" t="s">
        <v>12</v>
      </c>
      <c r="C402" t="s">
        <v>20</v>
      </c>
      <c r="D402">
        <v>72700</v>
      </c>
      <c r="E402" t="s">
        <v>9</v>
      </c>
      <c r="F402" t="s">
        <v>18</v>
      </c>
    </row>
    <row r="403" spans="1:6" x14ac:dyDescent="0.25">
      <c r="A403" t="s">
        <v>420</v>
      </c>
      <c r="B403" t="s">
        <v>7</v>
      </c>
      <c r="C403" t="s">
        <v>27</v>
      </c>
      <c r="D403">
        <v>29420</v>
      </c>
      <c r="E403" t="s">
        <v>21</v>
      </c>
      <c r="F403" t="s">
        <v>28</v>
      </c>
    </row>
    <row r="404" spans="1:6" x14ac:dyDescent="0.25">
      <c r="A404" t="s">
        <v>421</v>
      </c>
      <c r="B404" t="s">
        <v>12</v>
      </c>
      <c r="C404" t="s">
        <v>20</v>
      </c>
      <c r="D404">
        <v>58280</v>
      </c>
      <c r="E404" t="s">
        <v>17</v>
      </c>
      <c r="F404" t="s">
        <v>28</v>
      </c>
    </row>
    <row r="405" spans="1:6" x14ac:dyDescent="0.25">
      <c r="A405" t="s">
        <v>422</v>
      </c>
      <c r="B405" t="s">
        <v>12</v>
      </c>
      <c r="C405" t="s">
        <v>50</v>
      </c>
      <c r="D405">
        <v>67980</v>
      </c>
      <c r="E405" t="s">
        <v>9</v>
      </c>
      <c r="F405" t="s">
        <v>28</v>
      </c>
    </row>
    <row r="406" spans="1:6" x14ac:dyDescent="0.25">
      <c r="A406" t="s">
        <v>423</v>
      </c>
      <c r="B406" t="s">
        <v>7</v>
      </c>
      <c r="C406" t="s">
        <v>20</v>
      </c>
      <c r="D406">
        <v>49760</v>
      </c>
      <c r="E406" t="s">
        <v>17</v>
      </c>
      <c r="F406" t="s">
        <v>10</v>
      </c>
    </row>
    <row r="407" spans="1:6" x14ac:dyDescent="0.25">
      <c r="A407" t="s">
        <v>424</v>
      </c>
      <c r="B407" t="s">
        <v>7</v>
      </c>
      <c r="C407" t="s">
        <v>31</v>
      </c>
      <c r="D407">
        <v>69910</v>
      </c>
      <c r="E407" t="s">
        <v>21</v>
      </c>
      <c r="F407" t="s">
        <v>14</v>
      </c>
    </row>
    <row r="408" spans="1:6" x14ac:dyDescent="0.25">
      <c r="A408" t="s">
        <v>425</v>
      </c>
      <c r="B408" t="s">
        <v>7</v>
      </c>
      <c r="C408" t="s">
        <v>42</v>
      </c>
      <c r="D408">
        <v>112370</v>
      </c>
      <c r="E408" t="s">
        <v>21</v>
      </c>
      <c r="F408" t="s">
        <v>28</v>
      </c>
    </row>
    <row r="409" spans="1:6" x14ac:dyDescent="0.25">
      <c r="A409" t="s">
        <v>426</v>
      </c>
      <c r="B409" t="s">
        <v>7</v>
      </c>
      <c r="C409" t="s">
        <v>20</v>
      </c>
      <c r="D409">
        <v>28580</v>
      </c>
      <c r="E409" t="s">
        <v>17</v>
      </c>
      <c r="F409" t="s">
        <v>28</v>
      </c>
    </row>
    <row r="410" spans="1:6" x14ac:dyDescent="0.25">
      <c r="A410" t="s">
        <v>427</v>
      </c>
      <c r="B410" t="s">
        <v>7</v>
      </c>
      <c r="C410" t="s">
        <v>53</v>
      </c>
      <c r="D410">
        <v>43590</v>
      </c>
      <c r="E410" t="s">
        <v>17</v>
      </c>
      <c r="F410" t="s">
        <v>24</v>
      </c>
    </row>
    <row r="411" spans="1:6" x14ac:dyDescent="0.25">
      <c r="A411" t="s">
        <v>141</v>
      </c>
      <c r="B411" t="s">
        <v>7</v>
      </c>
      <c r="C411" t="s">
        <v>42</v>
      </c>
      <c r="D411">
        <v>88330</v>
      </c>
      <c r="E411" t="s">
        <v>21</v>
      </c>
      <c r="F411" t="s">
        <v>14</v>
      </c>
    </row>
    <row r="412" spans="1:6" x14ac:dyDescent="0.25">
      <c r="A412" t="s">
        <v>428</v>
      </c>
      <c r="C412" t="s">
        <v>42</v>
      </c>
      <c r="D412">
        <v>78840</v>
      </c>
      <c r="E412" t="s">
        <v>9</v>
      </c>
      <c r="F412" t="s">
        <v>28</v>
      </c>
    </row>
    <row r="413" spans="1:6" x14ac:dyDescent="0.25">
      <c r="A413" t="s">
        <v>429</v>
      </c>
      <c r="B413" t="s">
        <v>12</v>
      </c>
      <c r="C413" t="s">
        <v>27</v>
      </c>
      <c r="D413">
        <v>61990</v>
      </c>
      <c r="E413" t="s">
        <v>9</v>
      </c>
      <c r="F413" t="s">
        <v>18</v>
      </c>
    </row>
    <row r="414" spans="1:6" x14ac:dyDescent="0.25">
      <c r="A414" t="s">
        <v>430</v>
      </c>
      <c r="B414" t="s">
        <v>7</v>
      </c>
      <c r="C414" t="s">
        <v>31</v>
      </c>
      <c r="D414">
        <v>77100</v>
      </c>
      <c r="E414" t="s">
        <v>21</v>
      </c>
      <c r="F414" t="s">
        <v>14</v>
      </c>
    </row>
    <row r="415" spans="1:6" x14ac:dyDescent="0.25">
      <c r="A415" t="s">
        <v>431</v>
      </c>
      <c r="B415" t="s">
        <v>12</v>
      </c>
      <c r="C415" t="s">
        <v>67</v>
      </c>
      <c r="D415">
        <v>66020</v>
      </c>
      <c r="E415" t="s">
        <v>9</v>
      </c>
      <c r="F415" t="s">
        <v>10</v>
      </c>
    </row>
    <row r="416" spans="1:6" x14ac:dyDescent="0.25">
      <c r="A416" t="s">
        <v>432</v>
      </c>
      <c r="B416" t="s">
        <v>7</v>
      </c>
      <c r="C416" t="s">
        <v>67</v>
      </c>
      <c r="E416" t="s">
        <v>21</v>
      </c>
      <c r="F416" t="s">
        <v>51</v>
      </c>
    </row>
    <row r="417" spans="1:6" x14ac:dyDescent="0.25">
      <c r="A417" t="s">
        <v>433</v>
      </c>
      <c r="B417" t="s">
        <v>12</v>
      </c>
      <c r="C417" t="s">
        <v>23</v>
      </c>
      <c r="D417">
        <v>70930</v>
      </c>
      <c r="E417" t="s">
        <v>21</v>
      </c>
      <c r="F417" t="s">
        <v>28</v>
      </c>
    </row>
    <row r="418" spans="1:6" x14ac:dyDescent="0.25">
      <c r="A418" t="s">
        <v>434</v>
      </c>
      <c r="B418" t="s">
        <v>7</v>
      </c>
      <c r="C418" t="s">
        <v>20</v>
      </c>
      <c r="D418">
        <v>40980</v>
      </c>
      <c r="E418" t="s">
        <v>21</v>
      </c>
      <c r="F418" t="s">
        <v>51</v>
      </c>
    </row>
    <row r="419" spans="1:6" x14ac:dyDescent="0.25">
      <c r="A419" t="s">
        <v>435</v>
      </c>
      <c r="B419" t="s">
        <v>7</v>
      </c>
      <c r="C419" t="s">
        <v>67</v>
      </c>
      <c r="D419">
        <v>48980</v>
      </c>
      <c r="E419" t="s">
        <v>21</v>
      </c>
      <c r="F419" t="s">
        <v>51</v>
      </c>
    </row>
    <row r="420" spans="1:6" x14ac:dyDescent="0.25">
      <c r="A420" t="s">
        <v>436</v>
      </c>
      <c r="B420" t="s">
        <v>7</v>
      </c>
      <c r="C420" t="s">
        <v>42</v>
      </c>
      <c r="D420">
        <v>110820</v>
      </c>
      <c r="E420" t="s">
        <v>21</v>
      </c>
      <c r="F420" t="s">
        <v>14</v>
      </c>
    </row>
    <row r="421" spans="1:6" x14ac:dyDescent="0.25">
      <c r="A421" t="s">
        <v>437</v>
      </c>
      <c r="B421" t="s">
        <v>12</v>
      </c>
      <c r="C421" t="s">
        <v>34</v>
      </c>
      <c r="D421">
        <v>61690</v>
      </c>
      <c r="E421" t="s">
        <v>17</v>
      </c>
      <c r="F421" t="s">
        <v>14</v>
      </c>
    </row>
    <row r="422" spans="1:6" x14ac:dyDescent="0.25">
      <c r="A422" t="s">
        <v>438</v>
      </c>
      <c r="B422" t="s">
        <v>12</v>
      </c>
      <c r="C422" t="s">
        <v>16</v>
      </c>
      <c r="D422">
        <v>51170</v>
      </c>
      <c r="E422" t="s">
        <v>21</v>
      </c>
      <c r="F422" t="s">
        <v>28</v>
      </c>
    </row>
    <row r="423" spans="1:6" x14ac:dyDescent="0.25">
      <c r="A423" t="s">
        <v>439</v>
      </c>
      <c r="C423" t="s">
        <v>23</v>
      </c>
      <c r="D423">
        <v>104800</v>
      </c>
      <c r="E423" t="s">
        <v>9</v>
      </c>
      <c r="F423" t="s">
        <v>28</v>
      </c>
    </row>
    <row r="424" spans="1:6" x14ac:dyDescent="0.25">
      <c r="A424" t="s">
        <v>440</v>
      </c>
      <c r="B424" t="s">
        <v>7</v>
      </c>
      <c r="C424" t="s">
        <v>53</v>
      </c>
      <c r="D424">
        <v>56280</v>
      </c>
      <c r="E424" t="s">
        <v>21</v>
      </c>
      <c r="F424" t="s">
        <v>24</v>
      </c>
    </row>
    <row r="425" spans="1:6" x14ac:dyDescent="0.25">
      <c r="A425" t="s">
        <v>441</v>
      </c>
      <c r="B425" t="s">
        <v>7</v>
      </c>
      <c r="C425" t="s">
        <v>13</v>
      </c>
      <c r="D425">
        <v>88380</v>
      </c>
      <c r="E425" t="s">
        <v>21</v>
      </c>
      <c r="F425" t="s">
        <v>14</v>
      </c>
    </row>
    <row r="426" spans="1:6" x14ac:dyDescent="0.25">
      <c r="A426" t="s">
        <v>442</v>
      </c>
      <c r="B426" t="s">
        <v>7</v>
      </c>
      <c r="C426" t="s">
        <v>13</v>
      </c>
      <c r="D426">
        <v>52590</v>
      </c>
      <c r="E426" t="s">
        <v>9</v>
      </c>
      <c r="F426" t="s">
        <v>14</v>
      </c>
    </row>
    <row r="427" spans="1:6" x14ac:dyDescent="0.25">
      <c r="A427" t="s">
        <v>443</v>
      </c>
      <c r="B427" t="s">
        <v>7</v>
      </c>
      <c r="C427" t="s">
        <v>31</v>
      </c>
      <c r="D427">
        <v>47650</v>
      </c>
      <c r="E427" t="s">
        <v>17</v>
      </c>
      <c r="F427" t="s">
        <v>24</v>
      </c>
    </row>
    <row r="428" spans="1:6" x14ac:dyDescent="0.25">
      <c r="A428" t="s">
        <v>444</v>
      </c>
      <c r="B428" t="s">
        <v>12</v>
      </c>
      <c r="C428" t="s">
        <v>8</v>
      </c>
      <c r="D428">
        <v>72350</v>
      </c>
      <c r="E428" t="s">
        <v>17</v>
      </c>
      <c r="F428" t="s">
        <v>14</v>
      </c>
    </row>
    <row r="429" spans="1:6" x14ac:dyDescent="0.25">
      <c r="A429" t="s">
        <v>445</v>
      </c>
      <c r="B429" t="s">
        <v>12</v>
      </c>
      <c r="C429" t="s">
        <v>53</v>
      </c>
      <c r="D429">
        <v>39940</v>
      </c>
      <c r="E429" t="s">
        <v>9</v>
      </c>
      <c r="F429" t="s">
        <v>28</v>
      </c>
    </row>
    <row r="430" spans="1:6" x14ac:dyDescent="0.25">
      <c r="A430" t="s">
        <v>446</v>
      </c>
      <c r="B430" t="s">
        <v>7</v>
      </c>
      <c r="C430" t="s">
        <v>50</v>
      </c>
      <c r="D430">
        <v>28130</v>
      </c>
      <c r="E430" t="s">
        <v>17</v>
      </c>
      <c r="F430" t="s">
        <v>24</v>
      </c>
    </row>
    <row r="431" spans="1:6" x14ac:dyDescent="0.25">
      <c r="A431" t="s">
        <v>447</v>
      </c>
      <c r="C431" t="s">
        <v>13</v>
      </c>
      <c r="D431">
        <v>69460</v>
      </c>
      <c r="E431" t="s">
        <v>17</v>
      </c>
      <c r="F431" t="s">
        <v>10</v>
      </c>
    </row>
    <row r="432" spans="1:6" x14ac:dyDescent="0.25">
      <c r="A432" t="s">
        <v>448</v>
      </c>
      <c r="B432" t="s">
        <v>7</v>
      </c>
      <c r="C432" t="s">
        <v>31</v>
      </c>
      <c r="D432">
        <v>109030</v>
      </c>
      <c r="E432" t="s">
        <v>17</v>
      </c>
      <c r="F432" t="s">
        <v>10</v>
      </c>
    </row>
    <row r="433" spans="1:6" x14ac:dyDescent="0.25">
      <c r="A433" t="s">
        <v>449</v>
      </c>
      <c r="B433" t="s">
        <v>7</v>
      </c>
      <c r="C433" t="s">
        <v>37</v>
      </c>
      <c r="D433">
        <v>66460</v>
      </c>
      <c r="E433" t="s">
        <v>9</v>
      </c>
      <c r="F433" t="s">
        <v>28</v>
      </c>
    </row>
    <row r="434" spans="1:6" x14ac:dyDescent="0.25">
      <c r="A434" t="s">
        <v>450</v>
      </c>
      <c r="B434" t="s">
        <v>12</v>
      </c>
      <c r="C434" t="s">
        <v>42</v>
      </c>
      <c r="D434">
        <v>50810</v>
      </c>
      <c r="E434" t="s">
        <v>17</v>
      </c>
      <c r="F434" t="s">
        <v>18</v>
      </c>
    </row>
    <row r="435" spans="1:6" x14ac:dyDescent="0.25">
      <c r="A435" t="s">
        <v>451</v>
      </c>
      <c r="B435" t="s">
        <v>12</v>
      </c>
      <c r="C435" t="s">
        <v>42</v>
      </c>
      <c r="E435" t="s">
        <v>17</v>
      </c>
      <c r="F435" t="s">
        <v>14</v>
      </c>
    </row>
    <row r="436" spans="1:6" x14ac:dyDescent="0.25">
      <c r="A436" t="s">
        <v>452</v>
      </c>
      <c r="B436" t="s">
        <v>7</v>
      </c>
      <c r="C436" t="s">
        <v>20</v>
      </c>
      <c r="D436">
        <v>114510</v>
      </c>
      <c r="E436" t="s">
        <v>21</v>
      </c>
      <c r="F436" t="s">
        <v>28</v>
      </c>
    </row>
    <row r="437" spans="1:6" x14ac:dyDescent="0.25">
      <c r="A437" t="s">
        <v>453</v>
      </c>
      <c r="B437" t="s">
        <v>12</v>
      </c>
      <c r="C437" t="s">
        <v>34</v>
      </c>
      <c r="D437">
        <v>86230</v>
      </c>
      <c r="E437" t="s">
        <v>17</v>
      </c>
      <c r="F437" t="s">
        <v>24</v>
      </c>
    </row>
    <row r="438" spans="1:6" x14ac:dyDescent="0.25">
      <c r="A438" t="s">
        <v>454</v>
      </c>
      <c r="B438" t="s">
        <v>7</v>
      </c>
      <c r="C438" t="s">
        <v>23</v>
      </c>
      <c r="D438">
        <v>73240</v>
      </c>
      <c r="E438" t="s">
        <v>21</v>
      </c>
      <c r="F438" t="s">
        <v>28</v>
      </c>
    </row>
    <row r="439" spans="1:6" x14ac:dyDescent="0.25">
      <c r="A439" t="s">
        <v>455</v>
      </c>
      <c r="B439" t="s">
        <v>12</v>
      </c>
      <c r="C439" t="s">
        <v>34</v>
      </c>
      <c r="D439">
        <v>53920</v>
      </c>
      <c r="E439" t="s">
        <v>21</v>
      </c>
      <c r="F439" t="s">
        <v>24</v>
      </c>
    </row>
    <row r="440" spans="1:6" x14ac:dyDescent="0.25">
      <c r="A440" t="s">
        <v>456</v>
      </c>
      <c r="B440" t="s">
        <v>12</v>
      </c>
      <c r="C440" t="s">
        <v>13</v>
      </c>
      <c r="D440">
        <v>113690</v>
      </c>
      <c r="E440" t="s">
        <v>21</v>
      </c>
      <c r="F440" t="s">
        <v>28</v>
      </c>
    </row>
    <row r="441" spans="1:6" x14ac:dyDescent="0.25">
      <c r="A441" t="s">
        <v>457</v>
      </c>
      <c r="B441" t="s">
        <v>7</v>
      </c>
      <c r="C441" t="s">
        <v>34</v>
      </c>
      <c r="D441">
        <v>101790</v>
      </c>
      <c r="E441" t="s">
        <v>9</v>
      </c>
      <c r="F441" t="s">
        <v>28</v>
      </c>
    </row>
    <row r="442" spans="1:6" x14ac:dyDescent="0.25">
      <c r="A442" t="s">
        <v>458</v>
      </c>
      <c r="B442" t="s">
        <v>12</v>
      </c>
      <c r="C442" t="s">
        <v>13</v>
      </c>
      <c r="D442">
        <v>38930</v>
      </c>
      <c r="E442" t="s">
        <v>17</v>
      </c>
      <c r="F442" t="s">
        <v>28</v>
      </c>
    </row>
    <row r="443" spans="1:6" x14ac:dyDescent="0.25">
      <c r="A443" t="s">
        <v>459</v>
      </c>
      <c r="B443" t="s">
        <v>7</v>
      </c>
      <c r="C443" t="s">
        <v>27</v>
      </c>
      <c r="D443">
        <v>57090</v>
      </c>
      <c r="E443" t="s">
        <v>21</v>
      </c>
      <c r="F443" t="s">
        <v>51</v>
      </c>
    </row>
    <row r="444" spans="1:6" x14ac:dyDescent="0.25">
      <c r="A444" t="s">
        <v>460</v>
      </c>
      <c r="B444" t="s">
        <v>7</v>
      </c>
      <c r="C444" t="s">
        <v>37</v>
      </c>
      <c r="D444">
        <v>106170</v>
      </c>
      <c r="E444" t="s">
        <v>9</v>
      </c>
      <c r="F444" t="s">
        <v>24</v>
      </c>
    </row>
    <row r="445" spans="1:6" x14ac:dyDescent="0.25">
      <c r="A445" t="s">
        <v>461</v>
      </c>
      <c r="B445" t="s">
        <v>12</v>
      </c>
      <c r="C445" t="s">
        <v>27</v>
      </c>
      <c r="D445">
        <v>59550</v>
      </c>
      <c r="E445" t="s">
        <v>17</v>
      </c>
      <c r="F445" t="s">
        <v>28</v>
      </c>
    </row>
    <row r="446" spans="1:6" x14ac:dyDescent="0.25">
      <c r="A446" t="s">
        <v>462</v>
      </c>
      <c r="B446" t="s">
        <v>7</v>
      </c>
      <c r="C446" t="s">
        <v>37</v>
      </c>
      <c r="D446">
        <v>89960</v>
      </c>
      <c r="E446" t="s">
        <v>9</v>
      </c>
      <c r="F446" t="s">
        <v>24</v>
      </c>
    </row>
    <row r="447" spans="1:6" x14ac:dyDescent="0.25">
      <c r="A447" t="s">
        <v>463</v>
      </c>
      <c r="C447" t="s">
        <v>23</v>
      </c>
      <c r="D447">
        <v>58850</v>
      </c>
      <c r="E447" t="s">
        <v>9</v>
      </c>
      <c r="F447" t="s">
        <v>24</v>
      </c>
    </row>
    <row r="448" spans="1:6" x14ac:dyDescent="0.25">
      <c r="A448" t="s">
        <v>464</v>
      </c>
      <c r="B448" t="s">
        <v>12</v>
      </c>
      <c r="C448" t="s">
        <v>37</v>
      </c>
      <c r="D448">
        <v>68200</v>
      </c>
      <c r="E448" t="s">
        <v>9</v>
      </c>
      <c r="F448" t="s">
        <v>28</v>
      </c>
    </row>
    <row r="449" spans="1:6" x14ac:dyDescent="0.25">
      <c r="A449" t="s">
        <v>465</v>
      </c>
      <c r="B449" t="s">
        <v>7</v>
      </c>
      <c r="C449" t="s">
        <v>67</v>
      </c>
      <c r="D449">
        <v>90130</v>
      </c>
      <c r="E449" t="s">
        <v>21</v>
      </c>
      <c r="F449" t="s">
        <v>14</v>
      </c>
    </row>
    <row r="450" spans="1:6" x14ac:dyDescent="0.25">
      <c r="A450" t="s">
        <v>466</v>
      </c>
      <c r="B450" t="s">
        <v>12</v>
      </c>
      <c r="C450" t="s">
        <v>31</v>
      </c>
      <c r="D450">
        <v>45060</v>
      </c>
      <c r="E450" t="s">
        <v>21</v>
      </c>
      <c r="F450" t="s">
        <v>14</v>
      </c>
    </row>
    <row r="451" spans="1:6" x14ac:dyDescent="0.25">
      <c r="A451" t="s">
        <v>467</v>
      </c>
      <c r="B451" t="s">
        <v>7</v>
      </c>
      <c r="C451" t="s">
        <v>37</v>
      </c>
      <c r="D451">
        <v>66370</v>
      </c>
      <c r="E451" t="s">
        <v>9</v>
      </c>
      <c r="F451" t="s">
        <v>28</v>
      </c>
    </row>
    <row r="452" spans="1:6" x14ac:dyDescent="0.25">
      <c r="A452" t="s">
        <v>468</v>
      </c>
      <c r="B452" t="s">
        <v>12</v>
      </c>
      <c r="C452" t="s">
        <v>31</v>
      </c>
      <c r="D452">
        <v>85880</v>
      </c>
      <c r="E452" t="s">
        <v>17</v>
      </c>
      <c r="F452" t="s">
        <v>14</v>
      </c>
    </row>
    <row r="453" spans="1:6" x14ac:dyDescent="0.25">
      <c r="A453" t="s">
        <v>469</v>
      </c>
      <c r="B453" t="s">
        <v>7</v>
      </c>
      <c r="C453" t="s">
        <v>53</v>
      </c>
      <c r="E453" t="s">
        <v>21</v>
      </c>
      <c r="F453" t="s">
        <v>24</v>
      </c>
    </row>
    <row r="454" spans="1:6" x14ac:dyDescent="0.25">
      <c r="A454" t="s">
        <v>470</v>
      </c>
      <c r="B454" t="s">
        <v>7</v>
      </c>
      <c r="C454" t="s">
        <v>23</v>
      </c>
      <c r="D454">
        <v>59260</v>
      </c>
      <c r="E454" t="s">
        <v>9</v>
      </c>
      <c r="F454" t="s">
        <v>24</v>
      </c>
    </row>
    <row r="455" spans="1:6" x14ac:dyDescent="0.25">
      <c r="A455" t="s">
        <v>471</v>
      </c>
      <c r="B455" t="s">
        <v>7</v>
      </c>
      <c r="C455" t="s">
        <v>20</v>
      </c>
      <c r="D455">
        <v>61790</v>
      </c>
      <c r="E455" t="s">
        <v>17</v>
      </c>
      <c r="F455" t="s">
        <v>28</v>
      </c>
    </row>
    <row r="456" spans="1:6" x14ac:dyDescent="0.25">
      <c r="A456" t="s">
        <v>472</v>
      </c>
      <c r="B456" t="s">
        <v>7</v>
      </c>
      <c r="C456" t="s">
        <v>42</v>
      </c>
      <c r="D456">
        <v>48180</v>
      </c>
      <c r="E456" t="s">
        <v>17</v>
      </c>
      <c r="F456" t="s">
        <v>14</v>
      </c>
    </row>
    <row r="457" spans="1:6" x14ac:dyDescent="0.25">
      <c r="A457" t="s">
        <v>473</v>
      </c>
      <c r="B457" t="s">
        <v>12</v>
      </c>
      <c r="C457" t="s">
        <v>37</v>
      </c>
      <c r="D457">
        <v>74800</v>
      </c>
      <c r="E457" t="s">
        <v>9</v>
      </c>
      <c r="F457" t="s">
        <v>51</v>
      </c>
    </row>
    <row r="458" spans="1:6" x14ac:dyDescent="0.25">
      <c r="A458" t="s">
        <v>474</v>
      </c>
      <c r="B458" t="s">
        <v>12</v>
      </c>
      <c r="C458" t="s">
        <v>34</v>
      </c>
      <c r="D458">
        <v>31020</v>
      </c>
      <c r="E458" t="s">
        <v>9</v>
      </c>
      <c r="F458" t="s">
        <v>28</v>
      </c>
    </row>
    <row r="459" spans="1:6" x14ac:dyDescent="0.25">
      <c r="A459" t="s">
        <v>475</v>
      </c>
      <c r="B459" t="s">
        <v>7</v>
      </c>
      <c r="C459" t="s">
        <v>37</v>
      </c>
      <c r="D459">
        <v>37550</v>
      </c>
      <c r="E459" t="s">
        <v>17</v>
      </c>
      <c r="F459" t="s">
        <v>28</v>
      </c>
    </row>
    <row r="460" spans="1:6" x14ac:dyDescent="0.25">
      <c r="A460" t="s">
        <v>238</v>
      </c>
      <c r="B460" t="s">
        <v>7</v>
      </c>
      <c r="C460" t="s">
        <v>67</v>
      </c>
      <c r="D460">
        <v>72040</v>
      </c>
      <c r="E460" t="s">
        <v>17</v>
      </c>
      <c r="F460" t="s">
        <v>14</v>
      </c>
    </row>
    <row r="461" spans="1:6" x14ac:dyDescent="0.25">
      <c r="A461" t="s">
        <v>476</v>
      </c>
      <c r="B461" t="s">
        <v>7</v>
      </c>
      <c r="C461" t="s">
        <v>23</v>
      </c>
      <c r="D461">
        <v>118840</v>
      </c>
      <c r="E461" t="s">
        <v>17</v>
      </c>
      <c r="F461" t="s">
        <v>18</v>
      </c>
    </row>
    <row r="462" spans="1:6" x14ac:dyDescent="0.25">
      <c r="A462" t="s">
        <v>477</v>
      </c>
      <c r="B462" t="s">
        <v>7</v>
      </c>
      <c r="C462" t="s">
        <v>27</v>
      </c>
      <c r="D462">
        <v>79570</v>
      </c>
      <c r="E462" t="s">
        <v>21</v>
      </c>
      <c r="F462" t="s">
        <v>28</v>
      </c>
    </row>
    <row r="463" spans="1:6" x14ac:dyDescent="0.25">
      <c r="A463" t="s">
        <v>478</v>
      </c>
      <c r="B463" t="s">
        <v>12</v>
      </c>
      <c r="C463" t="s">
        <v>34</v>
      </c>
      <c r="D463">
        <v>94050</v>
      </c>
      <c r="E463" t="s">
        <v>9</v>
      </c>
      <c r="F463" t="s">
        <v>18</v>
      </c>
    </row>
    <row r="464" spans="1:6" x14ac:dyDescent="0.25">
      <c r="A464" t="s">
        <v>479</v>
      </c>
      <c r="B464" t="s">
        <v>7</v>
      </c>
      <c r="C464" t="s">
        <v>37</v>
      </c>
      <c r="D464">
        <v>81260</v>
      </c>
      <c r="E464" t="s">
        <v>17</v>
      </c>
      <c r="F464" t="s">
        <v>28</v>
      </c>
    </row>
    <row r="465" spans="1:6" x14ac:dyDescent="0.25">
      <c r="A465" t="s">
        <v>480</v>
      </c>
      <c r="B465" t="s">
        <v>7</v>
      </c>
      <c r="C465" t="s">
        <v>23</v>
      </c>
      <c r="D465">
        <v>36710</v>
      </c>
      <c r="E465" t="s">
        <v>17</v>
      </c>
      <c r="F465" t="s">
        <v>28</v>
      </c>
    </row>
    <row r="466" spans="1:6" x14ac:dyDescent="0.25">
      <c r="A466" t="s">
        <v>481</v>
      </c>
      <c r="B466" t="s">
        <v>12</v>
      </c>
      <c r="C466" t="s">
        <v>8</v>
      </c>
      <c r="D466">
        <v>98360</v>
      </c>
      <c r="E466" t="s">
        <v>17</v>
      </c>
      <c r="F466" t="s">
        <v>51</v>
      </c>
    </row>
    <row r="467" spans="1:6" x14ac:dyDescent="0.25">
      <c r="A467" t="s">
        <v>482</v>
      </c>
      <c r="B467" t="s">
        <v>12</v>
      </c>
      <c r="C467" t="s">
        <v>27</v>
      </c>
      <c r="D467">
        <v>39680</v>
      </c>
      <c r="E467" t="s">
        <v>17</v>
      </c>
      <c r="F467" t="s">
        <v>24</v>
      </c>
    </row>
    <row r="468" spans="1:6" x14ac:dyDescent="0.25">
      <c r="A468" t="s">
        <v>483</v>
      </c>
      <c r="B468" t="s">
        <v>7</v>
      </c>
      <c r="C468" t="s">
        <v>8</v>
      </c>
      <c r="D468">
        <v>101390</v>
      </c>
      <c r="E468" t="s">
        <v>21</v>
      </c>
      <c r="F468" t="s">
        <v>14</v>
      </c>
    </row>
    <row r="469" spans="1:6" x14ac:dyDescent="0.25">
      <c r="A469" t="s">
        <v>484</v>
      </c>
      <c r="B469" t="s">
        <v>12</v>
      </c>
      <c r="C469" t="s">
        <v>34</v>
      </c>
      <c r="D469">
        <v>80700</v>
      </c>
      <c r="E469" t="s">
        <v>17</v>
      </c>
      <c r="F469" t="s">
        <v>14</v>
      </c>
    </row>
    <row r="470" spans="1:6" x14ac:dyDescent="0.25">
      <c r="A470" t="s">
        <v>485</v>
      </c>
      <c r="B470" t="s">
        <v>12</v>
      </c>
      <c r="C470" t="s">
        <v>8</v>
      </c>
      <c r="D470">
        <v>78020</v>
      </c>
      <c r="E470" t="s">
        <v>9</v>
      </c>
      <c r="F470" t="s">
        <v>28</v>
      </c>
    </row>
    <row r="471" spans="1:6" x14ac:dyDescent="0.25">
      <c r="A471" t="s">
        <v>486</v>
      </c>
      <c r="B471" t="s">
        <v>7</v>
      </c>
      <c r="C471" t="s">
        <v>23</v>
      </c>
      <c r="D471">
        <v>115490</v>
      </c>
      <c r="E471" t="s">
        <v>17</v>
      </c>
      <c r="F471" t="s">
        <v>24</v>
      </c>
    </row>
    <row r="472" spans="1:6" x14ac:dyDescent="0.25">
      <c r="A472" t="s">
        <v>487</v>
      </c>
      <c r="B472" t="s">
        <v>7</v>
      </c>
      <c r="C472" t="s">
        <v>16</v>
      </c>
      <c r="E472" t="s">
        <v>9</v>
      </c>
      <c r="F472" t="s">
        <v>28</v>
      </c>
    </row>
    <row r="473" spans="1:6" x14ac:dyDescent="0.25">
      <c r="A473" t="s">
        <v>488</v>
      </c>
      <c r="B473" t="s">
        <v>7</v>
      </c>
      <c r="C473" t="s">
        <v>37</v>
      </c>
      <c r="D473">
        <v>111910</v>
      </c>
      <c r="E473" t="s">
        <v>17</v>
      </c>
      <c r="F473" t="s">
        <v>14</v>
      </c>
    </row>
    <row r="474" spans="1:6" x14ac:dyDescent="0.25">
      <c r="A474" t="s">
        <v>489</v>
      </c>
      <c r="B474" t="s">
        <v>12</v>
      </c>
      <c r="C474" t="s">
        <v>31</v>
      </c>
      <c r="D474">
        <v>109050</v>
      </c>
      <c r="E474" t="s">
        <v>21</v>
      </c>
      <c r="F474" t="s">
        <v>28</v>
      </c>
    </row>
    <row r="475" spans="1:6" x14ac:dyDescent="0.25">
      <c r="A475" t="s">
        <v>373</v>
      </c>
      <c r="B475" t="s">
        <v>12</v>
      </c>
      <c r="C475" t="s">
        <v>42</v>
      </c>
      <c r="D475">
        <v>95680</v>
      </c>
      <c r="E475" t="s">
        <v>17</v>
      </c>
      <c r="F475" t="s">
        <v>28</v>
      </c>
    </row>
    <row r="476" spans="1:6" x14ac:dyDescent="0.25">
      <c r="A476" t="s">
        <v>490</v>
      </c>
      <c r="B476" t="s">
        <v>7</v>
      </c>
      <c r="C476" t="s">
        <v>31</v>
      </c>
      <c r="D476">
        <v>109380</v>
      </c>
      <c r="E476" t="s">
        <v>21</v>
      </c>
      <c r="F476" t="s">
        <v>28</v>
      </c>
    </row>
    <row r="477" spans="1:6" x14ac:dyDescent="0.25">
      <c r="A477" t="s">
        <v>491</v>
      </c>
      <c r="B477" t="s">
        <v>7</v>
      </c>
      <c r="C477" t="s">
        <v>50</v>
      </c>
      <c r="D477">
        <v>69710</v>
      </c>
      <c r="E477" t="s">
        <v>21</v>
      </c>
      <c r="F477" t="s">
        <v>28</v>
      </c>
    </row>
    <row r="478" spans="1:6" x14ac:dyDescent="0.25">
      <c r="A478" t="s">
        <v>492</v>
      </c>
      <c r="B478" t="s">
        <v>12</v>
      </c>
      <c r="C478" t="s">
        <v>23</v>
      </c>
      <c r="D478">
        <v>30000</v>
      </c>
      <c r="E478" t="s">
        <v>21</v>
      </c>
      <c r="F478" t="s">
        <v>28</v>
      </c>
    </row>
    <row r="479" spans="1:6" x14ac:dyDescent="0.25">
      <c r="A479" t="s">
        <v>493</v>
      </c>
      <c r="B479" t="s">
        <v>7</v>
      </c>
      <c r="C479" t="s">
        <v>20</v>
      </c>
      <c r="D479">
        <v>57620</v>
      </c>
      <c r="E479" t="s">
        <v>9</v>
      </c>
      <c r="F479" t="s">
        <v>51</v>
      </c>
    </row>
    <row r="480" spans="1:6" x14ac:dyDescent="0.25">
      <c r="A480" t="s">
        <v>117</v>
      </c>
      <c r="B480" t="s">
        <v>12</v>
      </c>
      <c r="C480" t="s">
        <v>27</v>
      </c>
      <c r="D480">
        <v>35940</v>
      </c>
      <c r="E480" t="s">
        <v>9</v>
      </c>
      <c r="F480" t="s">
        <v>24</v>
      </c>
    </row>
    <row r="481" spans="1:6" x14ac:dyDescent="0.25">
      <c r="A481" t="s">
        <v>494</v>
      </c>
      <c r="B481" t="s">
        <v>12</v>
      </c>
      <c r="C481" t="s">
        <v>42</v>
      </c>
      <c r="D481">
        <v>101190</v>
      </c>
      <c r="E481" t="s">
        <v>17</v>
      </c>
      <c r="F481" t="s">
        <v>28</v>
      </c>
    </row>
    <row r="482" spans="1:6" x14ac:dyDescent="0.25">
      <c r="A482" t="s">
        <v>495</v>
      </c>
      <c r="B482" t="s">
        <v>12</v>
      </c>
      <c r="C482" t="s">
        <v>20</v>
      </c>
      <c r="D482">
        <v>48980</v>
      </c>
      <c r="E482" t="s">
        <v>17</v>
      </c>
      <c r="F482" t="s">
        <v>10</v>
      </c>
    </row>
    <row r="483" spans="1:6" x14ac:dyDescent="0.25">
      <c r="A483" t="s">
        <v>496</v>
      </c>
      <c r="B483" t="s">
        <v>7</v>
      </c>
      <c r="C483" t="s">
        <v>20</v>
      </c>
      <c r="D483">
        <v>115840</v>
      </c>
      <c r="E483" t="s">
        <v>9</v>
      </c>
      <c r="F483" t="s">
        <v>18</v>
      </c>
    </row>
    <row r="484" spans="1:6" x14ac:dyDescent="0.25">
      <c r="A484" t="s">
        <v>497</v>
      </c>
      <c r="B484" t="s">
        <v>7</v>
      </c>
      <c r="C484" t="s">
        <v>8</v>
      </c>
      <c r="E484" t="s">
        <v>21</v>
      </c>
      <c r="F484" t="s">
        <v>51</v>
      </c>
    </row>
    <row r="485" spans="1:6" x14ac:dyDescent="0.25">
      <c r="A485" t="s">
        <v>498</v>
      </c>
      <c r="B485" t="s">
        <v>12</v>
      </c>
      <c r="C485" t="s">
        <v>53</v>
      </c>
      <c r="D485">
        <v>45450</v>
      </c>
      <c r="E485" t="s">
        <v>21</v>
      </c>
      <c r="F485" t="s">
        <v>10</v>
      </c>
    </row>
    <row r="486" spans="1:6" x14ac:dyDescent="0.25">
      <c r="A486" t="s">
        <v>499</v>
      </c>
      <c r="B486" t="s">
        <v>7</v>
      </c>
      <c r="C486" t="s">
        <v>23</v>
      </c>
      <c r="D486">
        <v>54140</v>
      </c>
      <c r="E486" t="s">
        <v>17</v>
      </c>
      <c r="F486" t="s">
        <v>28</v>
      </c>
    </row>
    <row r="487" spans="1:6" x14ac:dyDescent="0.25">
      <c r="A487" t="s">
        <v>500</v>
      </c>
      <c r="B487" t="s">
        <v>12</v>
      </c>
      <c r="C487" t="s">
        <v>27</v>
      </c>
      <c r="D487">
        <v>117520</v>
      </c>
      <c r="E487" t="s">
        <v>21</v>
      </c>
      <c r="F487" t="s">
        <v>28</v>
      </c>
    </row>
    <row r="488" spans="1:6" x14ac:dyDescent="0.25">
      <c r="A488" t="s">
        <v>501</v>
      </c>
      <c r="B488" t="s">
        <v>12</v>
      </c>
      <c r="C488" t="s">
        <v>20</v>
      </c>
      <c r="E488" t="s">
        <v>21</v>
      </c>
      <c r="F488" t="s">
        <v>28</v>
      </c>
    </row>
    <row r="489" spans="1:6" x14ac:dyDescent="0.25">
      <c r="A489" t="s">
        <v>502</v>
      </c>
      <c r="B489" t="s">
        <v>7</v>
      </c>
      <c r="C489" t="s">
        <v>53</v>
      </c>
      <c r="D489">
        <v>93210</v>
      </c>
      <c r="E489" t="s">
        <v>9</v>
      </c>
      <c r="F489" t="s">
        <v>24</v>
      </c>
    </row>
    <row r="490" spans="1:6" x14ac:dyDescent="0.25">
      <c r="A490" t="s">
        <v>503</v>
      </c>
      <c r="B490" t="s">
        <v>7</v>
      </c>
      <c r="C490" t="s">
        <v>23</v>
      </c>
      <c r="D490">
        <v>104470</v>
      </c>
      <c r="E490" t="s">
        <v>9</v>
      </c>
      <c r="F490" t="s">
        <v>18</v>
      </c>
    </row>
    <row r="491" spans="1:6" x14ac:dyDescent="0.25">
      <c r="A491" t="s">
        <v>504</v>
      </c>
      <c r="B491" t="s">
        <v>7</v>
      </c>
      <c r="C491" t="s">
        <v>42</v>
      </c>
      <c r="D491">
        <v>110890</v>
      </c>
      <c r="E491" t="s">
        <v>17</v>
      </c>
      <c r="F491" t="s">
        <v>24</v>
      </c>
    </row>
    <row r="492" spans="1:6" x14ac:dyDescent="0.25">
      <c r="A492" t="s">
        <v>505</v>
      </c>
      <c r="B492" t="s">
        <v>7</v>
      </c>
      <c r="C492" t="s">
        <v>50</v>
      </c>
      <c r="E492" t="s">
        <v>17</v>
      </c>
      <c r="F492" t="s">
        <v>14</v>
      </c>
    </row>
    <row r="493" spans="1:6" x14ac:dyDescent="0.25">
      <c r="A493" t="s">
        <v>506</v>
      </c>
      <c r="B493" t="s">
        <v>12</v>
      </c>
      <c r="C493" t="s">
        <v>42</v>
      </c>
      <c r="D493">
        <v>96660</v>
      </c>
      <c r="E493" t="s">
        <v>21</v>
      </c>
      <c r="F493" t="s">
        <v>28</v>
      </c>
    </row>
    <row r="494" spans="1:6" x14ac:dyDescent="0.25">
      <c r="A494" t="s">
        <v>507</v>
      </c>
      <c r="B494" t="s">
        <v>7</v>
      </c>
      <c r="C494" t="s">
        <v>31</v>
      </c>
      <c r="D494">
        <v>118360</v>
      </c>
      <c r="E494" t="s">
        <v>21</v>
      </c>
      <c r="F494" t="s">
        <v>28</v>
      </c>
    </row>
    <row r="495" spans="1:6" x14ac:dyDescent="0.25">
      <c r="A495" t="s">
        <v>508</v>
      </c>
      <c r="B495" t="s">
        <v>12</v>
      </c>
      <c r="C495" t="s">
        <v>23</v>
      </c>
      <c r="D495">
        <v>88030</v>
      </c>
      <c r="E495" t="s">
        <v>17</v>
      </c>
      <c r="F495" t="s">
        <v>28</v>
      </c>
    </row>
    <row r="496" spans="1:6" x14ac:dyDescent="0.25">
      <c r="A496" t="s">
        <v>509</v>
      </c>
      <c r="B496" t="s">
        <v>7</v>
      </c>
      <c r="C496" t="s">
        <v>37</v>
      </c>
      <c r="D496">
        <v>87810</v>
      </c>
      <c r="E496" t="s">
        <v>17</v>
      </c>
      <c r="F496" t="s">
        <v>18</v>
      </c>
    </row>
    <row r="497" spans="1:6" x14ac:dyDescent="0.25">
      <c r="A497" t="s">
        <v>510</v>
      </c>
      <c r="B497" t="s">
        <v>7</v>
      </c>
      <c r="C497" t="s">
        <v>34</v>
      </c>
      <c r="D497">
        <v>51520</v>
      </c>
      <c r="E497" t="s">
        <v>17</v>
      </c>
      <c r="F497" t="s">
        <v>28</v>
      </c>
    </row>
    <row r="498" spans="1:6" x14ac:dyDescent="0.25">
      <c r="A498" t="s">
        <v>511</v>
      </c>
      <c r="B498" t="s">
        <v>7</v>
      </c>
      <c r="C498" t="s">
        <v>8</v>
      </c>
      <c r="D498">
        <v>60260</v>
      </c>
      <c r="E498" t="s">
        <v>17</v>
      </c>
      <c r="F498" t="s">
        <v>18</v>
      </c>
    </row>
    <row r="499" spans="1:6" x14ac:dyDescent="0.25">
      <c r="A499" t="s">
        <v>512</v>
      </c>
      <c r="B499" t="s">
        <v>7</v>
      </c>
      <c r="C499" t="s">
        <v>23</v>
      </c>
      <c r="D499">
        <v>61210</v>
      </c>
      <c r="E499" t="s">
        <v>21</v>
      </c>
      <c r="F499" t="s">
        <v>28</v>
      </c>
    </row>
    <row r="500" spans="1:6" x14ac:dyDescent="0.25">
      <c r="A500" t="s">
        <v>513</v>
      </c>
      <c r="B500" t="s">
        <v>7</v>
      </c>
      <c r="C500" t="s">
        <v>50</v>
      </c>
      <c r="D500">
        <v>52750</v>
      </c>
      <c r="E500" t="s">
        <v>21</v>
      </c>
      <c r="F500" t="s">
        <v>28</v>
      </c>
    </row>
    <row r="501" spans="1:6" x14ac:dyDescent="0.25">
      <c r="A501" t="s">
        <v>514</v>
      </c>
      <c r="B501" t="s">
        <v>7</v>
      </c>
      <c r="C501" t="s">
        <v>37</v>
      </c>
      <c r="D501">
        <v>47270</v>
      </c>
      <c r="E501" t="s">
        <v>21</v>
      </c>
      <c r="F501" t="s">
        <v>28</v>
      </c>
    </row>
    <row r="502" spans="1:6" x14ac:dyDescent="0.25">
      <c r="A502" t="s">
        <v>515</v>
      </c>
      <c r="B502" t="s">
        <v>7</v>
      </c>
      <c r="C502" t="s">
        <v>8</v>
      </c>
      <c r="D502">
        <v>118060</v>
      </c>
      <c r="E502" t="s">
        <v>21</v>
      </c>
      <c r="F502" t="s">
        <v>14</v>
      </c>
    </row>
    <row r="503" spans="1:6" x14ac:dyDescent="0.25">
      <c r="A503" t="s">
        <v>516</v>
      </c>
      <c r="B503" t="s">
        <v>7</v>
      </c>
      <c r="C503" t="s">
        <v>67</v>
      </c>
      <c r="D503">
        <v>37360</v>
      </c>
      <c r="E503" t="s">
        <v>9</v>
      </c>
      <c r="F503" t="s">
        <v>28</v>
      </c>
    </row>
    <row r="504" spans="1:6" x14ac:dyDescent="0.25">
      <c r="A504" t="s">
        <v>517</v>
      </c>
      <c r="B504" t="s">
        <v>12</v>
      </c>
      <c r="C504" t="s">
        <v>34</v>
      </c>
      <c r="D504">
        <v>66510</v>
      </c>
      <c r="E504" t="s">
        <v>21</v>
      </c>
      <c r="F504" t="s">
        <v>28</v>
      </c>
    </row>
    <row r="505" spans="1:6" x14ac:dyDescent="0.25">
      <c r="A505" t="s">
        <v>518</v>
      </c>
      <c r="B505" t="s">
        <v>12</v>
      </c>
      <c r="C505" t="s">
        <v>67</v>
      </c>
      <c r="D505">
        <v>29530</v>
      </c>
      <c r="E505" t="s">
        <v>21</v>
      </c>
      <c r="F505" t="s">
        <v>51</v>
      </c>
    </row>
    <row r="506" spans="1:6" x14ac:dyDescent="0.25">
      <c r="A506" t="s">
        <v>519</v>
      </c>
      <c r="B506" t="s">
        <v>12</v>
      </c>
      <c r="C506" t="s">
        <v>50</v>
      </c>
      <c r="D506">
        <v>60440</v>
      </c>
      <c r="E506" t="s">
        <v>9</v>
      </c>
      <c r="F506" t="s">
        <v>10</v>
      </c>
    </row>
    <row r="507" spans="1:6" x14ac:dyDescent="0.25">
      <c r="A507" t="s">
        <v>520</v>
      </c>
      <c r="B507" t="s">
        <v>7</v>
      </c>
      <c r="C507" t="s">
        <v>13</v>
      </c>
      <c r="D507">
        <v>90530</v>
      </c>
      <c r="E507" t="s">
        <v>9</v>
      </c>
      <c r="F507" t="s">
        <v>51</v>
      </c>
    </row>
    <row r="508" spans="1:6" x14ac:dyDescent="0.25">
      <c r="A508" t="s">
        <v>521</v>
      </c>
      <c r="B508" t="s">
        <v>7</v>
      </c>
      <c r="C508" t="s">
        <v>42</v>
      </c>
      <c r="D508">
        <v>67950</v>
      </c>
      <c r="E508" t="s">
        <v>21</v>
      </c>
      <c r="F508" t="s">
        <v>10</v>
      </c>
    </row>
    <row r="509" spans="1:6" x14ac:dyDescent="0.25">
      <c r="A509" t="s">
        <v>522</v>
      </c>
      <c r="B509" t="s">
        <v>7</v>
      </c>
      <c r="C509" t="s">
        <v>53</v>
      </c>
      <c r="D509">
        <v>105120</v>
      </c>
      <c r="E509" t="s">
        <v>21</v>
      </c>
      <c r="F509" t="s">
        <v>28</v>
      </c>
    </row>
    <row r="510" spans="1:6" x14ac:dyDescent="0.25">
      <c r="A510" t="s">
        <v>523</v>
      </c>
      <c r="B510" t="s">
        <v>7</v>
      </c>
      <c r="C510" t="s">
        <v>42</v>
      </c>
      <c r="D510">
        <v>60570</v>
      </c>
      <c r="E510" t="s">
        <v>9</v>
      </c>
      <c r="F510" t="s">
        <v>14</v>
      </c>
    </row>
    <row r="511" spans="1:6" x14ac:dyDescent="0.25">
      <c r="A511" t="s">
        <v>524</v>
      </c>
      <c r="B511" t="s">
        <v>12</v>
      </c>
      <c r="C511" t="s">
        <v>42</v>
      </c>
      <c r="D511">
        <v>119110</v>
      </c>
      <c r="E511" t="s">
        <v>21</v>
      </c>
      <c r="F511" t="s">
        <v>14</v>
      </c>
    </row>
    <row r="512" spans="1:6" x14ac:dyDescent="0.25">
      <c r="A512" t="s">
        <v>525</v>
      </c>
      <c r="B512" t="s">
        <v>7</v>
      </c>
      <c r="C512" t="s">
        <v>31</v>
      </c>
      <c r="D512">
        <v>104770</v>
      </c>
      <c r="E512" t="s">
        <v>21</v>
      </c>
      <c r="F512" t="s">
        <v>24</v>
      </c>
    </row>
    <row r="513" spans="1:6" x14ac:dyDescent="0.25">
      <c r="A513" t="s">
        <v>526</v>
      </c>
      <c r="B513" t="s">
        <v>7</v>
      </c>
      <c r="C513" t="s">
        <v>8</v>
      </c>
      <c r="D513">
        <v>70360</v>
      </c>
      <c r="E513" t="s">
        <v>9</v>
      </c>
      <c r="F513" t="s">
        <v>28</v>
      </c>
    </row>
    <row r="514" spans="1:6" x14ac:dyDescent="0.25">
      <c r="A514" t="s">
        <v>527</v>
      </c>
      <c r="B514" t="s">
        <v>12</v>
      </c>
      <c r="C514" t="s">
        <v>23</v>
      </c>
      <c r="D514">
        <v>45110</v>
      </c>
      <c r="E514" t="s">
        <v>17</v>
      </c>
      <c r="F514" t="s">
        <v>18</v>
      </c>
    </row>
    <row r="515" spans="1:6" x14ac:dyDescent="0.25">
      <c r="A515" t="s">
        <v>528</v>
      </c>
      <c r="B515" t="s">
        <v>7</v>
      </c>
      <c r="C515" t="s">
        <v>50</v>
      </c>
      <c r="E515" t="s">
        <v>17</v>
      </c>
      <c r="F515" t="s">
        <v>51</v>
      </c>
    </row>
    <row r="516" spans="1:6" x14ac:dyDescent="0.25">
      <c r="A516" t="s">
        <v>529</v>
      </c>
      <c r="B516" t="s">
        <v>12</v>
      </c>
      <c r="C516" t="s">
        <v>50</v>
      </c>
      <c r="E516" t="s">
        <v>9</v>
      </c>
      <c r="F516" t="s">
        <v>18</v>
      </c>
    </row>
    <row r="517" spans="1:6" x14ac:dyDescent="0.25">
      <c r="A517" t="s">
        <v>530</v>
      </c>
      <c r="B517" t="s">
        <v>12</v>
      </c>
      <c r="C517" t="s">
        <v>34</v>
      </c>
      <c r="D517">
        <v>33630</v>
      </c>
      <c r="E517" t="s">
        <v>17</v>
      </c>
      <c r="F517" t="s">
        <v>24</v>
      </c>
    </row>
    <row r="518" spans="1:6" x14ac:dyDescent="0.25">
      <c r="A518" t="s">
        <v>531</v>
      </c>
      <c r="B518" t="s">
        <v>7</v>
      </c>
      <c r="C518" t="s">
        <v>42</v>
      </c>
      <c r="D518">
        <v>53870</v>
      </c>
      <c r="E518" t="s">
        <v>17</v>
      </c>
      <c r="F518" t="s">
        <v>14</v>
      </c>
    </row>
    <row r="519" spans="1:6" x14ac:dyDescent="0.25">
      <c r="A519" t="s">
        <v>532</v>
      </c>
      <c r="B519" t="s">
        <v>12</v>
      </c>
      <c r="C519" t="s">
        <v>13</v>
      </c>
      <c r="D519">
        <v>111190</v>
      </c>
      <c r="E519" t="s">
        <v>9</v>
      </c>
      <c r="F519" t="s">
        <v>28</v>
      </c>
    </row>
    <row r="520" spans="1:6" x14ac:dyDescent="0.25">
      <c r="A520" t="s">
        <v>533</v>
      </c>
      <c r="B520" t="s">
        <v>12</v>
      </c>
      <c r="C520" t="s">
        <v>20</v>
      </c>
      <c r="D520">
        <v>29970</v>
      </c>
      <c r="E520" t="s">
        <v>21</v>
      </c>
      <c r="F520" t="s">
        <v>28</v>
      </c>
    </row>
    <row r="521" spans="1:6" x14ac:dyDescent="0.25">
      <c r="A521" t="s">
        <v>534</v>
      </c>
      <c r="B521" t="s">
        <v>7</v>
      </c>
      <c r="C521" t="s">
        <v>23</v>
      </c>
      <c r="D521">
        <v>64960</v>
      </c>
      <c r="E521" t="s">
        <v>9</v>
      </c>
      <c r="F521" t="s">
        <v>28</v>
      </c>
    </row>
    <row r="522" spans="1:6" x14ac:dyDescent="0.25">
      <c r="A522" t="s">
        <v>535</v>
      </c>
      <c r="B522" t="s">
        <v>7</v>
      </c>
      <c r="C522" t="s">
        <v>37</v>
      </c>
      <c r="D522">
        <v>111230</v>
      </c>
      <c r="E522" t="s">
        <v>17</v>
      </c>
      <c r="F522" t="s">
        <v>28</v>
      </c>
    </row>
    <row r="523" spans="1:6" x14ac:dyDescent="0.25">
      <c r="A523" t="s">
        <v>536</v>
      </c>
      <c r="B523" t="s">
        <v>12</v>
      </c>
      <c r="C523" t="s">
        <v>8</v>
      </c>
      <c r="D523">
        <v>99530</v>
      </c>
      <c r="E523" t="s">
        <v>17</v>
      </c>
      <c r="F523" t="s">
        <v>28</v>
      </c>
    </row>
    <row r="524" spans="1:6" x14ac:dyDescent="0.25">
      <c r="A524" t="s">
        <v>297</v>
      </c>
      <c r="B524" t="s">
        <v>7</v>
      </c>
      <c r="C524" t="s">
        <v>34</v>
      </c>
      <c r="D524">
        <v>90880</v>
      </c>
      <c r="E524" t="s">
        <v>17</v>
      </c>
      <c r="F524" t="s">
        <v>18</v>
      </c>
    </row>
    <row r="525" spans="1:6" x14ac:dyDescent="0.25">
      <c r="A525" t="s">
        <v>537</v>
      </c>
      <c r="B525" t="s">
        <v>12</v>
      </c>
      <c r="C525" t="s">
        <v>50</v>
      </c>
      <c r="D525">
        <v>35980</v>
      </c>
      <c r="E525" t="s">
        <v>9</v>
      </c>
      <c r="F525" t="s">
        <v>10</v>
      </c>
    </row>
    <row r="526" spans="1:6" x14ac:dyDescent="0.25">
      <c r="A526" t="s">
        <v>324</v>
      </c>
      <c r="B526" t="s">
        <v>12</v>
      </c>
      <c r="C526" t="s">
        <v>34</v>
      </c>
      <c r="D526">
        <v>72500</v>
      </c>
      <c r="E526" t="s">
        <v>21</v>
      </c>
      <c r="F526" t="s">
        <v>14</v>
      </c>
    </row>
    <row r="527" spans="1:6" x14ac:dyDescent="0.25">
      <c r="A527" t="s">
        <v>538</v>
      </c>
      <c r="B527" t="s">
        <v>7</v>
      </c>
      <c r="C527" t="s">
        <v>67</v>
      </c>
      <c r="D527">
        <v>65700</v>
      </c>
      <c r="E527" t="s">
        <v>17</v>
      </c>
      <c r="F527" t="s">
        <v>51</v>
      </c>
    </row>
    <row r="528" spans="1:6" x14ac:dyDescent="0.25">
      <c r="A528" t="s">
        <v>539</v>
      </c>
      <c r="B528" t="s">
        <v>12</v>
      </c>
      <c r="C528" t="s">
        <v>31</v>
      </c>
      <c r="D528">
        <v>109170</v>
      </c>
      <c r="E528" t="s">
        <v>9</v>
      </c>
      <c r="F528" t="s">
        <v>14</v>
      </c>
    </row>
    <row r="529" spans="1:6" x14ac:dyDescent="0.25">
      <c r="A529" t="s">
        <v>540</v>
      </c>
      <c r="B529" t="s">
        <v>7</v>
      </c>
      <c r="C529" t="s">
        <v>23</v>
      </c>
      <c r="D529">
        <v>95020</v>
      </c>
      <c r="E529" t="s">
        <v>9</v>
      </c>
      <c r="F529" t="s">
        <v>28</v>
      </c>
    </row>
    <row r="530" spans="1:6" x14ac:dyDescent="0.25">
      <c r="A530" t="s">
        <v>176</v>
      </c>
      <c r="B530" t="s">
        <v>12</v>
      </c>
      <c r="C530" t="s">
        <v>37</v>
      </c>
      <c r="D530">
        <v>72500</v>
      </c>
      <c r="E530" t="s">
        <v>17</v>
      </c>
      <c r="F530" t="s">
        <v>24</v>
      </c>
    </row>
    <row r="531" spans="1:6" x14ac:dyDescent="0.25">
      <c r="A531" t="s">
        <v>541</v>
      </c>
      <c r="B531" t="s">
        <v>12</v>
      </c>
      <c r="C531" t="s">
        <v>37</v>
      </c>
      <c r="D531">
        <v>87290</v>
      </c>
      <c r="E531" t="s">
        <v>21</v>
      </c>
      <c r="F531" t="s">
        <v>14</v>
      </c>
    </row>
    <row r="532" spans="1:6" x14ac:dyDescent="0.25">
      <c r="A532" t="s">
        <v>542</v>
      </c>
      <c r="B532" t="s">
        <v>12</v>
      </c>
      <c r="C532" t="s">
        <v>13</v>
      </c>
      <c r="D532">
        <v>97110</v>
      </c>
      <c r="E532" t="s">
        <v>17</v>
      </c>
      <c r="F532" t="s">
        <v>28</v>
      </c>
    </row>
    <row r="533" spans="1:6" x14ac:dyDescent="0.25">
      <c r="A533" t="s">
        <v>543</v>
      </c>
      <c r="B533" t="s">
        <v>12</v>
      </c>
      <c r="C533" t="s">
        <v>50</v>
      </c>
      <c r="D533">
        <v>59430</v>
      </c>
      <c r="E533" t="s">
        <v>9</v>
      </c>
      <c r="F533" t="s">
        <v>28</v>
      </c>
    </row>
    <row r="534" spans="1:6" x14ac:dyDescent="0.25">
      <c r="A534" t="s">
        <v>544</v>
      </c>
      <c r="B534" t="s">
        <v>7</v>
      </c>
      <c r="C534" t="s">
        <v>67</v>
      </c>
      <c r="D534">
        <v>112120</v>
      </c>
      <c r="E534" t="s">
        <v>9</v>
      </c>
      <c r="F534" t="s">
        <v>28</v>
      </c>
    </row>
    <row r="535" spans="1:6" x14ac:dyDescent="0.25">
      <c r="A535" t="s">
        <v>545</v>
      </c>
      <c r="B535" t="s">
        <v>7</v>
      </c>
      <c r="C535" t="s">
        <v>50</v>
      </c>
      <c r="D535">
        <v>28160</v>
      </c>
      <c r="E535" t="s">
        <v>17</v>
      </c>
      <c r="F535" t="s">
        <v>18</v>
      </c>
    </row>
    <row r="536" spans="1:6" x14ac:dyDescent="0.25">
      <c r="A536" t="s">
        <v>546</v>
      </c>
      <c r="B536" t="s">
        <v>12</v>
      </c>
      <c r="C536" t="s">
        <v>20</v>
      </c>
      <c r="D536">
        <v>75870</v>
      </c>
      <c r="E536" t="s">
        <v>9</v>
      </c>
      <c r="F536" t="s">
        <v>28</v>
      </c>
    </row>
    <row r="537" spans="1:6" x14ac:dyDescent="0.25">
      <c r="A537" t="s">
        <v>547</v>
      </c>
      <c r="B537" t="s">
        <v>12</v>
      </c>
      <c r="C537" t="s">
        <v>23</v>
      </c>
      <c r="D537">
        <v>93270</v>
      </c>
      <c r="E537" t="s">
        <v>9</v>
      </c>
      <c r="F537" t="s">
        <v>28</v>
      </c>
    </row>
    <row r="538" spans="1:6" x14ac:dyDescent="0.25">
      <c r="A538" t="s">
        <v>548</v>
      </c>
      <c r="B538" t="s">
        <v>12</v>
      </c>
      <c r="C538" t="s">
        <v>42</v>
      </c>
      <c r="D538">
        <v>42730</v>
      </c>
      <c r="E538" t="s">
        <v>9</v>
      </c>
      <c r="F538" t="s">
        <v>28</v>
      </c>
    </row>
    <row r="539" spans="1:6" x14ac:dyDescent="0.25">
      <c r="A539" t="s">
        <v>549</v>
      </c>
      <c r="B539" t="s">
        <v>12</v>
      </c>
      <c r="C539" t="s">
        <v>31</v>
      </c>
      <c r="D539">
        <v>80610</v>
      </c>
      <c r="E539" t="s">
        <v>17</v>
      </c>
      <c r="F539" t="s">
        <v>28</v>
      </c>
    </row>
    <row r="540" spans="1:6" x14ac:dyDescent="0.25">
      <c r="A540" t="s">
        <v>550</v>
      </c>
      <c r="B540" t="s">
        <v>12</v>
      </c>
      <c r="C540" t="s">
        <v>31</v>
      </c>
      <c r="D540">
        <v>69060</v>
      </c>
      <c r="E540" t="s">
        <v>9</v>
      </c>
      <c r="F540" t="s">
        <v>51</v>
      </c>
    </row>
    <row r="541" spans="1:6" x14ac:dyDescent="0.25">
      <c r="A541" t="s">
        <v>551</v>
      </c>
      <c r="B541" t="s">
        <v>7</v>
      </c>
      <c r="C541" t="s">
        <v>37</v>
      </c>
      <c r="D541">
        <v>31280</v>
      </c>
      <c r="E541" t="s">
        <v>17</v>
      </c>
      <c r="F541" t="s">
        <v>28</v>
      </c>
    </row>
    <row r="542" spans="1:6" x14ac:dyDescent="0.25">
      <c r="A542" t="s">
        <v>552</v>
      </c>
      <c r="B542" t="s">
        <v>7</v>
      </c>
      <c r="C542" t="s">
        <v>34</v>
      </c>
      <c r="D542">
        <v>96610</v>
      </c>
      <c r="E542" t="s">
        <v>21</v>
      </c>
      <c r="F542" t="s">
        <v>10</v>
      </c>
    </row>
    <row r="543" spans="1:6" x14ac:dyDescent="0.25">
      <c r="A543" t="s">
        <v>553</v>
      </c>
      <c r="B543" t="s">
        <v>12</v>
      </c>
      <c r="C543" t="s">
        <v>34</v>
      </c>
      <c r="D543">
        <v>37020</v>
      </c>
      <c r="E543" t="s">
        <v>21</v>
      </c>
      <c r="F543" t="s">
        <v>28</v>
      </c>
    </row>
    <row r="544" spans="1:6" x14ac:dyDescent="0.25">
      <c r="A544" t="s">
        <v>554</v>
      </c>
      <c r="B544" t="s">
        <v>7</v>
      </c>
      <c r="C544" t="s">
        <v>42</v>
      </c>
      <c r="D544">
        <v>54970</v>
      </c>
      <c r="E544" t="s">
        <v>9</v>
      </c>
      <c r="F544" t="s">
        <v>28</v>
      </c>
    </row>
    <row r="545" spans="1:6" x14ac:dyDescent="0.25">
      <c r="A545" t="s">
        <v>555</v>
      </c>
      <c r="B545" t="s">
        <v>7</v>
      </c>
      <c r="C545" t="s">
        <v>31</v>
      </c>
      <c r="D545">
        <v>41910</v>
      </c>
      <c r="E545" t="s">
        <v>9</v>
      </c>
      <c r="F545" t="s">
        <v>24</v>
      </c>
    </row>
    <row r="546" spans="1:6" x14ac:dyDescent="0.25">
      <c r="A546" t="s">
        <v>556</v>
      </c>
      <c r="B546" t="s">
        <v>7</v>
      </c>
      <c r="C546" t="s">
        <v>23</v>
      </c>
      <c r="D546">
        <v>116970</v>
      </c>
      <c r="E546" t="s">
        <v>17</v>
      </c>
      <c r="F546" t="s">
        <v>10</v>
      </c>
    </row>
    <row r="547" spans="1:6" x14ac:dyDescent="0.25">
      <c r="A547" t="s">
        <v>508</v>
      </c>
      <c r="B547" t="s">
        <v>12</v>
      </c>
      <c r="C547" t="s">
        <v>23</v>
      </c>
      <c r="D547">
        <v>88030</v>
      </c>
      <c r="E547" t="s">
        <v>21</v>
      </c>
      <c r="F547" t="s">
        <v>10</v>
      </c>
    </row>
    <row r="548" spans="1:6" x14ac:dyDescent="0.25">
      <c r="A548" t="s">
        <v>557</v>
      </c>
      <c r="B548" t="s">
        <v>12</v>
      </c>
      <c r="C548" t="s">
        <v>27</v>
      </c>
      <c r="D548">
        <v>86390</v>
      </c>
      <c r="E548" t="s">
        <v>17</v>
      </c>
      <c r="F548" t="s">
        <v>14</v>
      </c>
    </row>
    <row r="549" spans="1:6" x14ac:dyDescent="0.25">
      <c r="A549" t="s">
        <v>558</v>
      </c>
      <c r="B549" t="s">
        <v>7</v>
      </c>
      <c r="C549" t="s">
        <v>31</v>
      </c>
      <c r="D549">
        <v>81150</v>
      </c>
      <c r="E549" t="s">
        <v>17</v>
      </c>
      <c r="F549" t="s">
        <v>18</v>
      </c>
    </row>
    <row r="550" spans="1:6" x14ac:dyDescent="0.25">
      <c r="A550" t="s">
        <v>559</v>
      </c>
      <c r="B550" t="s">
        <v>12</v>
      </c>
      <c r="C550" t="s">
        <v>53</v>
      </c>
      <c r="D550">
        <v>71820</v>
      </c>
      <c r="E550" t="s">
        <v>21</v>
      </c>
      <c r="F550" t="s">
        <v>28</v>
      </c>
    </row>
    <row r="551" spans="1:6" x14ac:dyDescent="0.25">
      <c r="A551" t="s">
        <v>560</v>
      </c>
      <c r="B551" t="s">
        <v>7</v>
      </c>
      <c r="C551" t="s">
        <v>50</v>
      </c>
      <c r="D551">
        <v>85460</v>
      </c>
      <c r="E551" t="s">
        <v>21</v>
      </c>
      <c r="F551" t="s">
        <v>28</v>
      </c>
    </row>
    <row r="552" spans="1:6" x14ac:dyDescent="0.25">
      <c r="A552" t="s">
        <v>561</v>
      </c>
      <c r="B552" t="s">
        <v>12</v>
      </c>
      <c r="C552" t="s">
        <v>34</v>
      </c>
      <c r="D552">
        <v>91190</v>
      </c>
      <c r="E552" t="s">
        <v>9</v>
      </c>
      <c r="F552" t="s">
        <v>24</v>
      </c>
    </row>
    <row r="553" spans="1:6" x14ac:dyDescent="0.25">
      <c r="A553" t="s">
        <v>562</v>
      </c>
      <c r="C553" t="s">
        <v>23</v>
      </c>
      <c r="D553">
        <v>93160</v>
      </c>
      <c r="E553" t="s">
        <v>9</v>
      </c>
      <c r="F553" t="s">
        <v>28</v>
      </c>
    </row>
    <row r="554" spans="1:6" x14ac:dyDescent="0.25">
      <c r="A554" t="s">
        <v>563</v>
      </c>
      <c r="B554" t="s">
        <v>7</v>
      </c>
      <c r="C554" t="s">
        <v>67</v>
      </c>
      <c r="D554">
        <v>110950</v>
      </c>
      <c r="E554" t="s">
        <v>21</v>
      </c>
      <c r="F554" t="s">
        <v>24</v>
      </c>
    </row>
    <row r="555" spans="1:6" x14ac:dyDescent="0.25">
      <c r="A555" t="s">
        <v>564</v>
      </c>
      <c r="B555" t="s">
        <v>12</v>
      </c>
      <c r="C555" t="s">
        <v>37</v>
      </c>
      <c r="D555">
        <v>35990</v>
      </c>
      <c r="E555" t="s">
        <v>17</v>
      </c>
      <c r="F555" t="s">
        <v>28</v>
      </c>
    </row>
    <row r="556" spans="1:6" x14ac:dyDescent="0.25">
      <c r="A556" t="s">
        <v>565</v>
      </c>
      <c r="B556" t="s">
        <v>7</v>
      </c>
      <c r="C556" t="s">
        <v>13</v>
      </c>
      <c r="D556">
        <v>39970</v>
      </c>
      <c r="E556" t="s">
        <v>21</v>
      </c>
      <c r="F556" t="s">
        <v>28</v>
      </c>
    </row>
    <row r="557" spans="1:6" x14ac:dyDescent="0.25">
      <c r="A557" t="s">
        <v>566</v>
      </c>
      <c r="B557" t="s">
        <v>7</v>
      </c>
      <c r="C557" t="s">
        <v>42</v>
      </c>
      <c r="D557">
        <v>79520</v>
      </c>
      <c r="E557" t="s">
        <v>21</v>
      </c>
      <c r="F557" t="s">
        <v>28</v>
      </c>
    </row>
    <row r="558" spans="1:6" x14ac:dyDescent="0.25">
      <c r="A558" t="s">
        <v>567</v>
      </c>
      <c r="B558" t="s">
        <v>7</v>
      </c>
      <c r="C558" t="s">
        <v>20</v>
      </c>
      <c r="D558">
        <v>52120</v>
      </c>
      <c r="E558" t="s">
        <v>17</v>
      </c>
      <c r="F558" t="s">
        <v>24</v>
      </c>
    </row>
    <row r="559" spans="1:6" x14ac:dyDescent="0.25">
      <c r="A559" t="s">
        <v>568</v>
      </c>
      <c r="B559" t="s">
        <v>7</v>
      </c>
      <c r="C559" t="s">
        <v>23</v>
      </c>
      <c r="D559">
        <v>60010</v>
      </c>
      <c r="E559" t="s">
        <v>9</v>
      </c>
      <c r="F559" t="s">
        <v>28</v>
      </c>
    </row>
    <row r="560" spans="1:6" x14ac:dyDescent="0.25">
      <c r="A560" t="s">
        <v>569</v>
      </c>
      <c r="B560" t="s">
        <v>12</v>
      </c>
      <c r="C560" t="s">
        <v>53</v>
      </c>
      <c r="D560">
        <v>35440</v>
      </c>
      <c r="E560" t="s">
        <v>17</v>
      </c>
      <c r="F560" t="s">
        <v>14</v>
      </c>
    </row>
    <row r="561" spans="1:6" x14ac:dyDescent="0.25">
      <c r="A561" t="s">
        <v>19</v>
      </c>
      <c r="C561" t="s">
        <v>20</v>
      </c>
      <c r="D561">
        <v>56370</v>
      </c>
      <c r="E561" t="s">
        <v>17</v>
      </c>
      <c r="F561" t="s">
        <v>28</v>
      </c>
    </row>
    <row r="562" spans="1:6" x14ac:dyDescent="0.25">
      <c r="A562" t="s">
        <v>570</v>
      </c>
      <c r="B562" t="s">
        <v>7</v>
      </c>
      <c r="C562" t="s">
        <v>20</v>
      </c>
      <c r="E562" t="s">
        <v>17</v>
      </c>
      <c r="F562" t="s">
        <v>28</v>
      </c>
    </row>
    <row r="563" spans="1:6" x14ac:dyDescent="0.25">
      <c r="A563" t="s">
        <v>571</v>
      </c>
      <c r="B563" t="s">
        <v>12</v>
      </c>
      <c r="C563" t="s">
        <v>20</v>
      </c>
      <c r="D563">
        <v>105610</v>
      </c>
      <c r="E563" t="s">
        <v>9</v>
      </c>
      <c r="F563" t="s">
        <v>24</v>
      </c>
    </row>
    <row r="564" spans="1:6" x14ac:dyDescent="0.25">
      <c r="A564" t="s">
        <v>572</v>
      </c>
      <c r="B564" t="s">
        <v>7</v>
      </c>
      <c r="C564" t="s">
        <v>53</v>
      </c>
      <c r="D564">
        <v>113280</v>
      </c>
      <c r="E564" t="s">
        <v>17</v>
      </c>
      <c r="F564" t="s">
        <v>14</v>
      </c>
    </row>
    <row r="565" spans="1:6" x14ac:dyDescent="0.25">
      <c r="A565" t="s">
        <v>573</v>
      </c>
      <c r="B565" t="s">
        <v>12</v>
      </c>
      <c r="C565" t="s">
        <v>13</v>
      </c>
      <c r="D565">
        <v>41980</v>
      </c>
      <c r="E565" t="s">
        <v>9</v>
      </c>
      <c r="F565" t="s">
        <v>28</v>
      </c>
    </row>
    <row r="566" spans="1:6" x14ac:dyDescent="0.25">
      <c r="A566" t="s">
        <v>574</v>
      </c>
      <c r="B566" t="s">
        <v>7</v>
      </c>
      <c r="C566" t="s">
        <v>34</v>
      </c>
      <c r="D566">
        <v>103670</v>
      </c>
      <c r="E566" t="s">
        <v>9</v>
      </c>
      <c r="F566" t="s">
        <v>28</v>
      </c>
    </row>
    <row r="567" spans="1:6" x14ac:dyDescent="0.25">
      <c r="A567" t="s">
        <v>575</v>
      </c>
      <c r="B567" t="s">
        <v>12</v>
      </c>
      <c r="C567" t="s">
        <v>31</v>
      </c>
      <c r="D567">
        <v>89690</v>
      </c>
      <c r="E567" t="s">
        <v>21</v>
      </c>
      <c r="F567" t="s">
        <v>14</v>
      </c>
    </row>
    <row r="568" spans="1:6" x14ac:dyDescent="0.25">
      <c r="A568" t="s">
        <v>345</v>
      </c>
      <c r="B568" t="s">
        <v>7</v>
      </c>
      <c r="C568" t="s">
        <v>20</v>
      </c>
      <c r="D568">
        <v>96320</v>
      </c>
      <c r="E568" t="s">
        <v>9</v>
      </c>
      <c r="F568" t="s">
        <v>18</v>
      </c>
    </row>
    <row r="569" spans="1:6" x14ac:dyDescent="0.25">
      <c r="A569" t="s">
        <v>576</v>
      </c>
      <c r="B569" t="s">
        <v>12</v>
      </c>
      <c r="C569" t="s">
        <v>50</v>
      </c>
      <c r="D569">
        <v>87620</v>
      </c>
      <c r="E569" t="s">
        <v>17</v>
      </c>
      <c r="F569" t="s">
        <v>14</v>
      </c>
    </row>
    <row r="570" spans="1:6" x14ac:dyDescent="0.25">
      <c r="A570" t="s">
        <v>577</v>
      </c>
      <c r="B570" t="s">
        <v>12</v>
      </c>
      <c r="C570" t="s">
        <v>50</v>
      </c>
      <c r="D570">
        <v>48250</v>
      </c>
      <c r="E570" t="s">
        <v>21</v>
      </c>
      <c r="F570" t="s">
        <v>24</v>
      </c>
    </row>
    <row r="571" spans="1:6" x14ac:dyDescent="0.25">
      <c r="A571" t="s">
        <v>578</v>
      </c>
      <c r="B571" t="s">
        <v>7</v>
      </c>
      <c r="C571" t="s">
        <v>67</v>
      </c>
      <c r="D571">
        <v>85780</v>
      </c>
      <c r="E571" t="s">
        <v>17</v>
      </c>
      <c r="F571" t="s">
        <v>24</v>
      </c>
    </row>
    <row r="572" spans="1:6" x14ac:dyDescent="0.25">
      <c r="A572" t="s">
        <v>267</v>
      </c>
      <c r="B572" t="s">
        <v>12</v>
      </c>
      <c r="C572" t="s">
        <v>27</v>
      </c>
      <c r="E572" t="s">
        <v>9</v>
      </c>
      <c r="F572" t="s">
        <v>28</v>
      </c>
    </row>
    <row r="573" spans="1:6" x14ac:dyDescent="0.25">
      <c r="A573" t="s">
        <v>579</v>
      </c>
      <c r="B573" t="s">
        <v>7</v>
      </c>
      <c r="C573" t="s">
        <v>8</v>
      </c>
      <c r="D573">
        <v>54010</v>
      </c>
      <c r="E573" t="s">
        <v>21</v>
      </c>
      <c r="F573" t="s">
        <v>24</v>
      </c>
    </row>
    <row r="574" spans="1:6" x14ac:dyDescent="0.25">
      <c r="A574" t="s">
        <v>580</v>
      </c>
      <c r="B574" t="s">
        <v>12</v>
      </c>
      <c r="C574" t="s">
        <v>50</v>
      </c>
      <c r="D574">
        <v>31020</v>
      </c>
      <c r="E574" t="s">
        <v>17</v>
      </c>
      <c r="F574" t="s">
        <v>28</v>
      </c>
    </row>
    <row r="575" spans="1:6" x14ac:dyDescent="0.25">
      <c r="A575" t="s">
        <v>581</v>
      </c>
      <c r="B575" t="s">
        <v>12</v>
      </c>
      <c r="C575" t="s">
        <v>37</v>
      </c>
      <c r="D575">
        <v>75480</v>
      </c>
      <c r="E575" t="s">
        <v>21</v>
      </c>
      <c r="F575" t="s">
        <v>28</v>
      </c>
    </row>
    <row r="576" spans="1:6" x14ac:dyDescent="0.25">
      <c r="A576" t="s">
        <v>582</v>
      </c>
      <c r="B576" t="s">
        <v>7</v>
      </c>
      <c r="C576" t="s">
        <v>27</v>
      </c>
      <c r="D576">
        <v>93500</v>
      </c>
      <c r="E576" t="s">
        <v>17</v>
      </c>
      <c r="F576" t="s">
        <v>28</v>
      </c>
    </row>
    <row r="577" spans="1:6" x14ac:dyDescent="0.25">
      <c r="A577" t="s">
        <v>583</v>
      </c>
      <c r="B577" t="s">
        <v>12</v>
      </c>
      <c r="C577" t="s">
        <v>31</v>
      </c>
      <c r="D577">
        <v>98630</v>
      </c>
      <c r="E577" t="s">
        <v>9</v>
      </c>
      <c r="F577" t="s">
        <v>14</v>
      </c>
    </row>
    <row r="578" spans="1:6" x14ac:dyDescent="0.25">
      <c r="A578" t="s">
        <v>584</v>
      </c>
      <c r="B578" t="s">
        <v>7</v>
      </c>
      <c r="C578" t="s">
        <v>31</v>
      </c>
      <c r="D578">
        <v>76390</v>
      </c>
      <c r="E578" t="s">
        <v>9</v>
      </c>
      <c r="F578" t="s">
        <v>28</v>
      </c>
    </row>
    <row r="579" spans="1:6" x14ac:dyDescent="0.25">
      <c r="A579" t="s">
        <v>585</v>
      </c>
      <c r="B579" t="s">
        <v>12</v>
      </c>
      <c r="C579" t="s">
        <v>67</v>
      </c>
      <c r="D579">
        <v>68010</v>
      </c>
      <c r="E579" t="s">
        <v>17</v>
      </c>
      <c r="F579" t="s">
        <v>28</v>
      </c>
    </row>
    <row r="580" spans="1:6" x14ac:dyDescent="0.25">
      <c r="A580" t="s">
        <v>586</v>
      </c>
      <c r="B580" t="s">
        <v>7</v>
      </c>
      <c r="C580" t="s">
        <v>27</v>
      </c>
      <c r="D580">
        <v>58030</v>
      </c>
      <c r="E580" t="s">
        <v>21</v>
      </c>
      <c r="F580" t="s">
        <v>14</v>
      </c>
    </row>
    <row r="581" spans="1:6" x14ac:dyDescent="0.25">
      <c r="A581" t="s">
        <v>587</v>
      </c>
      <c r="B581" t="s">
        <v>7</v>
      </c>
      <c r="C581" t="s">
        <v>42</v>
      </c>
      <c r="D581">
        <v>59300</v>
      </c>
      <c r="E581" t="s">
        <v>21</v>
      </c>
      <c r="F581" t="s">
        <v>14</v>
      </c>
    </row>
    <row r="582" spans="1:6" x14ac:dyDescent="0.25">
      <c r="A582" t="s">
        <v>588</v>
      </c>
      <c r="B582" t="s">
        <v>12</v>
      </c>
      <c r="C582" t="s">
        <v>37</v>
      </c>
      <c r="D582">
        <v>51800</v>
      </c>
      <c r="E582" t="s">
        <v>17</v>
      </c>
      <c r="F582" t="s">
        <v>28</v>
      </c>
    </row>
    <row r="583" spans="1:6" x14ac:dyDescent="0.25">
      <c r="A583" t="s">
        <v>589</v>
      </c>
      <c r="B583" t="s">
        <v>7</v>
      </c>
      <c r="C583" t="s">
        <v>53</v>
      </c>
      <c r="D583">
        <v>57930</v>
      </c>
      <c r="E583" t="s">
        <v>17</v>
      </c>
      <c r="F583" t="s">
        <v>10</v>
      </c>
    </row>
    <row r="584" spans="1:6" x14ac:dyDescent="0.25">
      <c r="A584" t="s">
        <v>590</v>
      </c>
      <c r="B584" t="s">
        <v>7</v>
      </c>
      <c r="C584" t="s">
        <v>13</v>
      </c>
      <c r="D584">
        <v>40530</v>
      </c>
      <c r="E584" t="s">
        <v>9</v>
      </c>
      <c r="F584" t="s">
        <v>28</v>
      </c>
    </row>
    <row r="585" spans="1:6" x14ac:dyDescent="0.25">
      <c r="A585" t="s">
        <v>591</v>
      </c>
      <c r="B585" t="s">
        <v>7</v>
      </c>
      <c r="C585" t="s">
        <v>50</v>
      </c>
      <c r="D585">
        <v>48290</v>
      </c>
      <c r="E585" t="s">
        <v>21</v>
      </c>
      <c r="F585" t="s">
        <v>28</v>
      </c>
    </row>
    <row r="586" spans="1:6" x14ac:dyDescent="0.25">
      <c r="A586" t="s">
        <v>592</v>
      </c>
      <c r="B586" t="s">
        <v>12</v>
      </c>
      <c r="C586" t="s">
        <v>27</v>
      </c>
      <c r="E586" t="s">
        <v>17</v>
      </c>
      <c r="F586" t="s">
        <v>28</v>
      </c>
    </row>
    <row r="587" spans="1:6" x14ac:dyDescent="0.25">
      <c r="A587" t="s">
        <v>593</v>
      </c>
      <c r="B587" t="s">
        <v>7</v>
      </c>
      <c r="C587" t="s">
        <v>23</v>
      </c>
      <c r="D587">
        <v>63720</v>
      </c>
      <c r="E587" t="s">
        <v>21</v>
      </c>
      <c r="F587" t="s">
        <v>10</v>
      </c>
    </row>
    <row r="588" spans="1:6" x14ac:dyDescent="0.25">
      <c r="A588" t="s">
        <v>594</v>
      </c>
      <c r="B588" t="s">
        <v>7</v>
      </c>
      <c r="C588" t="s">
        <v>8</v>
      </c>
      <c r="D588">
        <v>84500</v>
      </c>
      <c r="E588" t="s">
        <v>21</v>
      </c>
      <c r="F588" t="s">
        <v>28</v>
      </c>
    </row>
    <row r="589" spans="1:6" x14ac:dyDescent="0.25">
      <c r="A589" t="s">
        <v>595</v>
      </c>
      <c r="B589" t="s">
        <v>7</v>
      </c>
      <c r="C589" t="s">
        <v>53</v>
      </c>
      <c r="D589">
        <v>67430</v>
      </c>
      <c r="E589" t="s">
        <v>21</v>
      </c>
      <c r="F589" t="s">
        <v>28</v>
      </c>
    </row>
    <row r="590" spans="1:6" x14ac:dyDescent="0.25">
      <c r="A590" t="s">
        <v>596</v>
      </c>
      <c r="B590" t="s">
        <v>7</v>
      </c>
      <c r="C590" t="s">
        <v>23</v>
      </c>
      <c r="D590">
        <v>109120</v>
      </c>
      <c r="E590" t="s">
        <v>21</v>
      </c>
      <c r="F590" t="s">
        <v>18</v>
      </c>
    </row>
    <row r="591" spans="1:6" x14ac:dyDescent="0.25">
      <c r="A591" t="s">
        <v>597</v>
      </c>
      <c r="B591" t="s">
        <v>7</v>
      </c>
      <c r="C591" t="s">
        <v>34</v>
      </c>
      <c r="D591">
        <v>69760</v>
      </c>
      <c r="E591" t="s">
        <v>21</v>
      </c>
      <c r="F591" t="s">
        <v>28</v>
      </c>
    </row>
    <row r="592" spans="1:6" x14ac:dyDescent="0.25">
      <c r="A592" t="s">
        <v>598</v>
      </c>
      <c r="B592" t="s">
        <v>12</v>
      </c>
      <c r="C592" t="s">
        <v>31</v>
      </c>
      <c r="D592">
        <v>45600</v>
      </c>
      <c r="E592" t="s">
        <v>21</v>
      </c>
      <c r="F592" t="s">
        <v>18</v>
      </c>
    </row>
    <row r="593" spans="1:6" x14ac:dyDescent="0.25">
      <c r="A593" t="s">
        <v>599</v>
      </c>
      <c r="B593" t="s">
        <v>12</v>
      </c>
      <c r="C593" t="s">
        <v>34</v>
      </c>
      <c r="D593">
        <v>33030</v>
      </c>
      <c r="E593" t="s">
        <v>9</v>
      </c>
      <c r="F593" t="s">
        <v>14</v>
      </c>
    </row>
    <row r="594" spans="1:6" x14ac:dyDescent="0.25">
      <c r="A594" t="s">
        <v>600</v>
      </c>
      <c r="B594" t="s">
        <v>7</v>
      </c>
      <c r="C594" t="s">
        <v>34</v>
      </c>
      <c r="D594">
        <v>80170</v>
      </c>
      <c r="E594" t="s">
        <v>9</v>
      </c>
      <c r="F594" t="s">
        <v>28</v>
      </c>
    </row>
    <row r="595" spans="1:6" x14ac:dyDescent="0.25">
      <c r="A595" t="s">
        <v>601</v>
      </c>
      <c r="B595" t="s">
        <v>7</v>
      </c>
      <c r="C595" t="s">
        <v>42</v>
      </c>
      <c r="D595">
        <v>43510</v>
      </c>
      <c r="E595" t="s">
        <v>21</v>
      </c>
      <c r="F595" t="s">
        <v>28</v>
      </c>
    </row>
    <row r="596" spans="1:6" x14ac:dyDescent="0.25">
      <c r="A596" t="s">
        <v>602</v>
      </c>
      <c r="B596" t="s">
        <v>12</v>
      </c>
      <c r="C596" t="s">
        <v>8</v>
      </c>
      <c r="D596">
        <v>49390</v>
      </c>
      <c r="E596" t="s">
        <v>9</v>
      </c>
      <c r="F596" t="s">
        <v>28</v>
      </c>
    </row>
    <row r="597" spans="1:6" x14ac:dyDescent="0.25">
      <c r="A597" t="s">
        <v>603</v>
      </c>
      <c r="B597" t="s">
        <v>12</v>
      </c>
      <c r="C597" t="s">
        <v>50</v>
      </c>
      <c r="D597">
        <v>47910</v>
      </c>
      <c r="E597" t="s">
        <v>21</v>
      </c>
      <c r="F597" t="s">
        <v>28</v>
      </c>
    </row>
    <row r="598" spans="1:6" x14ac:dyDescent="0.25">
      <c r="A598" t="s">
        <v>604</v>
      </c>
      <c r="B598" t="s">
        <v>7</v>
      </c>
      <c r="C598" t="s">
        <v>8</v>
      </c>
      <c r="D598">
        <v>35740</v>
      </c>
      <c r="E598" t="s">
        <v>21</v>
      </c>
      <c r="F598" t="s">
        <v>14</v>
      </c>
    </row>
    <row r="599" spans="1:6" x14ac:dyDescent="0.25">
      <c r="A599" t="s">
        <v>605</v>
      </c>
      <c r="B599" t="s">
        <v>7</v>
      </c>
      <c r="C599" t="s">
        <v>23</v>
      </c>
      <c r="D599">
        <v>42240</v>
      </c>
      <c r="E599" t="s">
        <v>17</v>
      </c>
      <c r="F599" t="s">
        <v>10</v>
      </c>
    </row>
    <row r="600" spans="1:6" x14ac:dyDescent="0.25">
      <c r="A600" t="s">
        <v>606</v>
      </c>
      <c r="B600" t="s">
        <v>12</v>
      </c>
      <c r="C600" t="s">
        <v>31</v>
      </c>
      <c r="D600">
        <v>117150</v>
      </c>
      <c r="E600" t="s">
        <v>9</v>
      </c>
      <c r="F600" t="s">
        <v>28</v>
      </c>
    </row>
    <row r="601" spans="1:6" x14ac:dyDescent="0.25">
      <c r="A601" t="s">
        <v>607</v>
      </c>
      <c r="B601" t="s">
        <v>7</v>
      </c>
      <c r="C601" t="s">
        <v>13</v>
      </c>
      <c r="D601">
        <v>36540</v>
      </c>
      <c r="E601" t="s">
        <v>21</v>
      </c>
      <c r="F601" t="s">
        <v>14</v>
      </c>
    </row>
    <row r="602" spans="1:6" x14ac:dyDescent="0.25">
      <c r="A602" t="s">
        <v>608</v>
      </c>
      <c r="C602" t="s">
        <v>50</v>
      </c>
      <c r="D602">
        <v>87290</v>
      </c>
      <c r="E602" t="s">
        <v>21</v>
      </c>
      <c r="F602" t="s">
        <v>14</v>
      </c>
    </row>
    <row r="603" spans="1:6" x14ac:dyDescent="0.25">
      <c r="A603" t="s">
        <v>609</v>
      </c>
      <c r="B603" t="s">
        <v>12</v>
      </c>
      <c r="C603" t="s">
        <v>50</v>
      </c>
      <c r="D603">
        <v>85720</v>
      </c>
      <c r="E603" t="s">
        <v>17</v>
      </c>
      <c r="F603" t="s">
        <v>28</v>
      </c>
    </row>
    <row r="604" spans="1:6" x14ac:dyDescent="0.25">
      <c r="A604" t="s">
        <v>610</v>
      </c>
      <c r="C604" t="s">
        <v>13</v>
      </c>
      <c r="D604">
        <v>34620</v>
      </c>
      <c r="E604" t="s">
        <v>21</v>
      </c>
      <c r="F604" t="s">
        <v>10</v>
      </c>
    </row>
    <row r="605" spans="1:6" x14ac:dyDescent="0.25">
      <c r="A605" t="s">
        <v>611</v>
      </c>
      <c r="B605" t="s">
        <v>7</v>
      </c>
      <c r="C605" t="s">
        <v>42</v>
      </c>
      <c r="D605">
        <v>62690</v>
      </c>
      <c r="E605" t="s">
        <v>9</v>
      </c>
      <c r="F605" t="s">
        <v>24</v>
      </c>
    </row>
    <row r="606" spans="1:6" x14ac:dyDescent="0.25">
      <c r="A606" t="s">
        <v>483</v>
      </c>
      <c r="B606" t="s">
        <v>7</v>
      </c>
      <c r="C606" t="s">
        <v>8</v>
      </c>
      <c r="D606">
        <v>101390</v>
      </c>
      <c r="E606" t="s">
        <v>21</v>
      </c>
      <c r="F606" t="s">
        <v>28</v>
      </c>
    </row>
    <row r="607" spans="1:6" x14ac:dyDescent="0.25">
      <c r="A607" t="s">
        <v>612</v>
      </c>
      <c r="B607" t="s">
        <v>12</v>
      </c>
      <c r="C607" t="s">
        <v>50</v>
      </c>
      <c r="D607">
        <v>30250</v>
      </c>
      <c r="E607" t="s">
        <v>21</v>
      </c>
      <c r="F607" t="s">
        <v>28</v>
      </c>
    </row>
    <row r="608" spans="1:6" x14ac:dyDescent="0.25">
      <c r="A608" t="s">
        <v>613</v>
      </c>
      <c r="B608" t="s">
        <v>7</v>
      </c>
      <c r="C608" t="s">
        <v>34</v>
      </c>
      <c r="D608">
        <v>29530</v>
      </c>
      <c r="E608" t="s">
        <v>9</v>
      </c>
      <c r="F608" t="s">
        <v>18</v>
      </c>
    </row>
    <row r="609" spans="1:6" x14ac:dyDescent="0.25">
      <c r="A609" t="s">
        <v>614</v>
      </c>
      <c r="B609" t="s">
        <v>7</v>
      </c>
      <c r="C609" t="s">
        <v>34</v>
      </c>
      <c r="D609">
        <v>103160</v>
      </c>
      <c r="E609" t="s">
        <v>21</v>
      </c>
      <c r="F609" t="s">
        <v>14</v>
      </c>
    </row>
    <row r="610" spans="1:6" x14ac:dyDescent="0.25">
      <c r="A610" t="s">
        <v>615</v>
      </c>
      <c r="B610" t="s">
        <v>12</v>
      </c>
      <c r="C610" t="s">
        <v>20</v>
      </c>
      <c r="D610">
        <v>109790</v>
      </c>
      <c r="E610" t="s">
        <v>21</v>
      </c>
      <c r="F610" t="s">
        <v>28</v>
      </c>
    </row>
    <row r="611" spans="1:6" x14ac:dyDescent="0.25">
      <c r="A611" t="s">
        <v>616</v>
      </c>
      <c r="B611" t="s">
        <v>12</v>
      </c>
      <c r="C611" t="s">
        <v>53</v>
      </c>
      <c r="D611">
        <v>33760</v>
      </c>
      <c r="E611" t="s">
        <v>17</v>
      </c>
      <c r="F611" t="s">
        <v>28</v>
      </c>
    </row>
    <row r="612" spans="1:6" x14ac:dyDescent="0.25">
      <c r="A612" t="s">
        <v>617</v>
      </c>
      <c r="B612" t="s">
        <v>12</v>
      </c>
      <c r="C612" t="s">
        <v>20</v>
      </c>
      <c r="D612">
        <v>36740</v>
      </c>
      <c r="E612" t="s">
        <v>21</v>
      </c>
      <c r="F612" t="s">
        <v>28</v>
      </c>
    </row>
    <row r="613" spans="1:6" x14ac:dyDescent="0.25">
      <c r="A613" t="s">
        <v>488</v>
      </c>
      <c r="B613" t="s">
        <v>7</v>
      </c>
      <c r="C613" t="s">
        <v>37</v>
      </c>
      <c r="D613">
        <v>111910</v>
      </c>
      <c r="E613" t="s">
        <v>17</v>
      </c>
      <c r="F613" t="s">
        <v>18</v>
      </c>
    </row>
    <row r="614" spans="1:6" x14ac:dyDescent="0.25">
      <c r="A614" t="s">
        <v>618</v>
      </c>
      <c r="B614" t="s">
        <v>7</v>
      </c>
      <c r="C614" t="s">
        <v>37</v>
      </c>
      <c r="D614">
        <v>31240</v>
      </c>
      <c r="E614" t="s">
        <v>17</v>
      </c>
      <c r="F614" t="s">
        <v>24</v>
      </c>
    </row>
    <row r="615" spans="1:6" x14ac:dyDescent="0.25">
      <c r="A615" t="s">
        <v>619</v>
      </c>
      <c r="B615" t="s">
        <v>12</v>
      </c>
      <c r="C615" t="s">
        <v>20</v>
      </c>
      <c r="D615">
        <v>75730</v>
      </c>
      <c r="E615" t="s">
        <v>21</v>
      </c>
      <c r="F615" t="s">
        <v>18</v>
      </c>
    </row>
    <row r="616" spans="1:6" x14ac:dyDescent="0.25">
      <c r="A616" t="s">
        <v>620</v>
      </c>
      <c r="B616" t="s">
        <v>7</v>
      </c>
      <c r="C616" t="s">
        <v>13</v>
      </c>
      <c r="D616">
        <v>50860</v>
      </c>
      <c r="E616" t="s">
        <v>17</v>
      </c>
      <c r="F616" t="s">
        <v>18</v>
      </c>
    </row>
    <row r="617" spans="1:6" x14ac:dyDescent="0.25">
      <c r="A617" t="s">
        <v>536</v>
      </c>
      <c r="B617" t="s">
        <v>12</v>
      </c>
      <c r="C617" t="s">
        <v>8</v>
      </c>
      <c r="D617">
        <v>99530</v>
      </c>
      <c r="E617" t="s">
        <v>9</v>
      </c>
      <c r="F617" t="s">
        <v>18</v>
      </c>
    </row>
    <row r="618" spans="1:6" x14ac:dyDescent="0.25">
      <c r="A618" t="s">
        <v>229</v>
      </c>
      <c r="B618" t="s">
        <v>12</v>
      </c>
      <c r="C618" t="s">
        <v>23</v>
      </c>
      <c r="D618">
        <v>43200</v>
      </c>
      <c r="E618" t="s">
        <v>17</v>
      </c>
      <c r="F618" t="s">
        <v>10</v>
      </c>
    </row>
    <row r="619" spans="1:6" x14ac:dyDescent="0.25">
      <c r="A619" t="s">
        <v>621</v>
      </c>
      <c r="B619" t="s">
        <v>12</v>
      </c>
      <c r="C619" t="s">
        <v>31</v>
      </c>
      <c r="D619">
        <v>84200</v>
      </c>
      <c r="E619" t="s">
        <v>17</v>
      </c>
      <c r="F619" t="s">
        <v>14</v>
      </c>
    </row>
    <row r="620" spans="1:6" x14ac:dyDescent="0.25">
      <c r="A620" t="s">
        <v>622</v>
      </c>
      <c r="B620" t="s">
        <v>12</v>
      </c>
      <c r="C620" t="s">
        <v>20</v>
      </c>
      <c r="D620">
        <v>95980</v>
      </c>
      <c r="E620" t="s">
        <v>9</v>
      </c>
      <c r="F620" t="s">
        <v>28</v>
      </c>
    </row>
    <row r="621" spans="1:6" x14ac:dyDescent="0.25">
      <c r="A621" t="s">
        <v>183</v>
      </c>
      <c r="B621" t="s">
        <v>12</v>
      </c>
      <c r="C621" t="s">
        <v>34</v>
      </c>
      <c r="D621">
        <v>69190</v>
      </c>
      <c r="E621" t="s">
        <v>21</v>
      </c>
      <c r="F621" t="s">
        <v>14</v>
      </c>
    </row>
    <row r="622" spans="1:6" x14ac:dyDescent="0.25">
      <c r="A622" t="s">
        <v>623</v>
      </c>
      <c r="B622" t="s">
        <v>12</v>
      </c>
      <c r="C622" t="s">
        <v>37</v>
      </c>
      <c r="D622">
        <v>65920</v>
      </c>
      <c r="E622" t="s">
        <v>21</v>
      </c>
      <c r="F622" t="s">
        <v>14</v>
      </c>
    </row>
    <row r="623" spans="1:6" x14ac:dyDescent="0.25">
      <c r="A623" t="s">
        <v>624</v>
      </c>
      <c r="B623" t="s">
        <v>7</v>
      </c>
      <c r="C623" t="s">
        <v>20</v>
      </c>
      <c r="D623">
        <v>113620</v>
      </c>
      <c r="E623" t="s">
        <v>9</v>
      </c>
      <c r="F623" t="s">
        <v>24</v>
      </c>
    </row>
    <row r="624" spans="1:6" x14ac:dyDescent="0.25">
      <c r="A624" t="s">
        <v>625</v>
      </c>
      <c r="B624" t="s">
        <v>7</v>
      </c>
      <c r="C624" t="s">
        <v>8</v>
      </c>
      <c r="D624">
        <v>60140</v>
      </c>
      <c r="E624" t="s">
        <v>17</v>
      </c>
      <c r="F624" t="s">
        <v>28</v>
      </c>
    </row>
    <row r="625" spans="1:6" x14ac:dyDescent="0.25">
      <c r="A625" t="s">
        <v>626</v>
      </c>
      <c r="B625" t="s">
        <v>12</v>
      </c>
      <c r="C625" t="s">
        <v>50</v>
      </c>
      <c r="D625">
        <v>92450</v>
      </c>
      <c r="E625" t="s">
        <v>21</v>
      </c>
      <c r="F625" t="s">
        <v>18</v>
      </c>
    </row>
    <row r="626" spans="1:6" x14ac:dyDescent="0.25">
      <c r="A626" t="s">
        <v>627</v>
      </c>
      <c r="B626" t="s">
        <v>7</v>
      </c>
      <c r="C626" t="s">
        <v>27</v>
      </c>
      <c r="D626">
        <v>34650</v>
      </c>
      <c r="E626" t="s">
        <v>17</v>
      </c>
      <c r="F626" t="s">
        <v>28</v>
      </c>
    </row>
    <row r="627" spans="1:6" x14ac:dyDescent="0.25">
      <c r="A627" t="s">
        <v>628</v>
      </c>
      <c r="B627" t="s">
        <v>7</v>
      </c>
      <c r="C627" t="s">
        <v>31</v>
      </c>
      <c r="D627">
        <v>84740</v>
      </c>
      <c r="E627" t="s">
        <v>9</v>
      </c>
      <c r="F627" t="s">
        <v>28</v>
      </c>
    </row>
    <row r="628" spans="1:6" x14ac:dyDescent="0.25">
      <c r="A628" t="s">
        <v>629</v>
      </c>
      <c r="B628" t="s">
        <v>12</v>
      </c>
      <c r="C628" t="s">
        <v>34</v>
      </c>
      <c r="D628">
        <v>88360</v>
      </c>
      <c r="E628" t="s">
        <v>9</v>
      </c>
      <c r="F628" t="s">
        <v>28</v>
      </c>
    </row>
    <row r="629" spans="1:6" x14ac:dyDescent="0.25">
      <c r="A629" t="s">
        <v>630</v>
      </c>
      <c r="B629" t="s">
        <v>12</v>
      </c>
      <c r="C629" t="s">
        <v>31</v>
      </c>
      <c r="D629">
        <v>116220</v>
      </c>
      <c r="E629" t="s">
        <v>9</v>
      </c>
      <c r="F629" t="s">
        <v>24</v>
      </c>
    </row>
    <row r="630" spans="1:6" x14ac:dyDescent="0.25">
      <c r="A630" t="s">
        <v>466</v>
      </c>
      <c r="B630" t="s">
        <v>12</v>
      </c>
      <c r="C630" t="s">
        <v>31</v>
      </c>
      <c r="D630">
        <v>45060</v>
      </c>
      <c r="E630" t="s">
        <v>9</v>
      </c>
      <c r="F630" t="s">
        <v>28</v>
      </c>
    </row>
    <row r="631" spans="1:6" x14ac:dyDescent="0.25">
      <c r="A631" t="s">
        <v>631</v>
      </c>
      <c r="B631" t="s">
        <v>7</v>
      </c>
      <c r="C631" t="s">
        <v>31</v>
      </c>
      <c r="D631">
        <v>106890</v>
      </c>
      <c r="E631" t="s">
        <v>21</v>
      </c>
      <c r="F631" t="s">
        <v>28</v>
      </c>
    </row>
    <row r="632" spans="1:6" x14ac:dyDescent="0.25">
      <c r="A632" t="s">
        <v>90</v>
      </c>
      <c r="B632" t="s">
        <v>7</v>
      </c>
      <c r="C632" t="s">
        <v>20</v>
      </c>
      <c r="D632">
        <v>28480</v>
      </c>
      <c r="E632" t="s">
        <v>21</v>
      </c>
      <c r="F632" t="s">
        <v>24</v>
      </c>
    </row>
    <row r="633" spans="1:6" x14ac:dyDescent="0.25">
      <c r="A633" t="s">
        <v>632</v>
      </c>
      <c r="B633" t="s">
        <v>12</v>
      </c>
      <c r="C633" t="s">
        <v>34</v>
      </c>
      <c r="E633" t="s">
        <v>17</v>
      </c>
      <c r="F633" t="s">
        <v>14</v>
      </c>
    </row>
    <row r="634" spans="1:6" x14ac:dyDescent="0.25">
      <c r="A634" t="s">
        <v>633</v>
      </c>
      <c r="B634" t="s">
        <v>12</v>
      </c>
      <c r="C634" t="s">
        <v>67</v>
      </c>
      <c r="D634">
        <v>107440</v>
      </c>
      <c r="E634" t="s">
        <v>21</v>
      </c>
      <c r="F634" t="s">
        <v>24</v>
      </c>
    </row>
    <row r="635" spans="1:6" x14ac:dyDescent="0.25">
      <c r="A635" t="s">
        <v>493</v>
      </c>
      <c r="B635" t="s">
        <v>7</v>
      </c>
      <c r="C635" t="s">
        <v>20</v>
      </c>
      <c r="D635">
        <v>57620</v>
      </c>
      <c r="E635" t="s">
        <v>17</v>
      </c>
      <c r="F635" t="s">
        <v>14</v>
      </c>
    </row>
    <row r="636" spans="1:6" x14ac:dyDescent="0.25">
      <c r="A636" t="s">
        <v>634</v>
      </c>
      <c r="B636" t="s">
        <v>12</v>
      </c>
      <c r="C636" t="s">
        <v>27</v>
      </c>
      <c r="D636">
        <v>29810</v>
      </c>
      <c r="E636" t="s">
        <v>21</v>
      </c>
      <c r="F636" t="s">
        <v>28</v>
      </c>
    </row>
    <row r="637" spans="1:6" x14ac:dyDescent="0.25">
      <c r="A637" t="s">
        <v>635</v>
      </c>
      <c r="B637" t="s">
        <v>7</v>
      </c>
      <c r="C637" t="s">
        <v>42</v>
      </c>
      <c r="D637">
        <v>105330</v>
      </c>
      <c r="E637" t="s">
        <v>9</v>
      </c>
      <c r="F637" t="s">
        <v>24</v>
      </c>
    </row>
    <row r="638" spans="1:6" x14ac:dyDescent="0.25">
      <c r="A638" t="s">
        <v>636</v>
      </c>
      <c r="B638" t="s">
        <v>12</v>
      </c>
      <c r="C638" t="s">
        <v>20</v>
      </c>
      <c r="D638">
        <v>43110</v>
      </c>
      <c r="E638" t="s">
        <v>9</v>
      </c>
      <c r="F638" t="s">
        <v>28</v>
      </c>
    </row>
    <row r="639" spans="1:6" x14ac:dyDescent="0.25">
      <c r="A639" t="s">
        <v>637</v>
      </c>
      <c r="B639" t="s">
        <v>7</v>
      </c>
      <c r="C639" t="s">
        <v>23</v>
      </c>
      <c r="D639">
        <v>52630</v>
      </c>
      <c r="E639" t="s">
        <v>17</v>
      </c>
      <c r="F639" t="s">
        <v>28</v>
      </c>
    </row>
    <row r="640" spans="1:6" x14ac:dyDescent="0.25">
      <c r="A640" t="s">
        <v>638</v>
      </c>
      <c r="B640" t="s">
        <v>7</v>
      </c>
      <c r="C640" t="s">
        <v>8</v>
      </c>
      <c r="D640">
        <v>46350</v>
      </c>
      <c r="E640" t="s">
        <v>21</v>
      </c>
      <c r="F640" t="s">
        <v>28</v>
      </c>
    </row>
    <row r="641" spans="1:6" x14ac:dyDescent="0.25">
      <c r="A641" t="s">
        <v>639</v>
      </c>
      <c r="B641" t="s">
        <v>12</v>
      </c>
      <c r="C641" t="s">
        <v>16</v>
      </c>
      <c r="D641">
        <v>39800</v>
      </c>
      <c r="E641" t="s">
        <v>21</v>
      </c>
      <c r="F641" t="s">
        <v>14</v>
      </c>
    </row>
    <row r="642" spans="1:6" x14ac:dyDescent="0.25">
      <c r="A642" t="s">
        <v>640</v>
      </c>
      <c r="B642" t="s">
        <v>7</v>
      </c>
      <c r="C642" t="s">
        <v>27</v>
      </c>
      <c r="D642">
        <v>108170</v>
      </c>
      <c r="E642" t="s">
        <v>21</v>
      </c>
      <c r="F642" t="s">
        <v>18</v>
      </c>
    </row>
    <row r="643" spans="1:6" x14ac:dyDescent="0.25">
      <c r="A643" t="s">
        <v>641</v>
      </c>
      <c r="B643" t="s">
        <v>7</v>
      </c>
      <c r="C643" t="s">
        <v>31</v>
      </c>
      <c r="D643">
        <v>69730</v>
      </c>
      <c r="E643" t="s">
        <v>21</v>
      </c>
      <c r="F643" t="s">
        <v>51</v>
      </c>
    </row>
    <row r="644" spans="1:6" x14ac:dyDescent="0.25">
      <c r="A644" t="s">
        <v>642</v>
      </c>
      <c r="B644" t="s">
        <v>7</v>
      </c>
      <c r="C644" t="s">
        <v>37</v>
      </c>
      <c r="D644">
        <v>110200</v>
      </c>
      <c r="E644" t="s">
        <v>17</v>
      </c>
      <c r="F644" t="s">
        <v>28</v>
      </c>
    </row>
    <row r="645" spans="1:6" x14ac:dyDescent="0.25">
      <c r="A645" t="s">
        <v>643</v>
      </c>
      <c r="B645" t="s">
        <v>7</v>
      </c>
      <c r="C645" t="s">
        <v>20</v>
      </c>
      <c r="D645">
        <v>116090</v>
      </c>
      <c r="E645" t="s">
        <v>21</v>
      </c>
      <c r="F645" t="s">
        <v>18</v>
      </c>
    </row>
    <row r="646" spans="1:6" x14ac:dyDescent="0.25">
      <c r="A646" t="s">
        <v>644</v>
      </c>
      <c r="C646" t="s">
        <v>34</v>
      </c>
      <c r="D646">
        <v>52140</v>
      </c>
      <c r="E646" t="s">
        <v>17</v>
      </c>
      <c r="F646" t="s">
        <v>28</v>
      </c>
    </row>
    <row r="647" spans="1:6" x14ac:dyDescent="0.25">
      <c r="A647" t="s">
        <v>645</v>
      </c>
      <c r="B647" t="s">
        <v>7</v>
      </c>
      <c r="C647" t="s">
        <v>13</v>
      </c>
      <c r="D647">
        <v>32810</v>
      </c>
      <c r="E647" t="s">
        <v>21</v>
      </c>
      <c r="F647" t="s">
        <v>28</v>
      </c>
    </row>
    <row r="648" spans="1:6" x14ac:dyDescent="0.25">
      <c r="A648" t="s">
        <v>646</v>
      </c>
      <c r="B648" t="s">
        <v>7</v>
      </c>
      <c r="C648" t="s">
        <v>8</v>
      </c>
      <c r="D648">
        <v>59430</v>
      </c>
      <c r="E648" t="s">
        <v>9</v>
      </c>
      <c r="F648" t="s">
        <v>28</v>
      </c>
    </row>
    <row r="649" spans="1:6" x14ac:dyDescent="0.25">
      <c r="A649" t="s">
        <v>647</v>
      </c>
      <c r="B649" t="s">
        <v>7</v>
      </c>
      <c r="C649" t="s">
        <v>20</v>
      </c>
      <c r="D649">
        <v>46990</v>
      </c>
      <c r="E649" t="s">
        <v>21</v>
      </c>
      <c r="F649" t="s">
        <v>28</v>
      </c>
    </row>
    <row r="650" spans="1:6" x14ac:dyDescent="0.25">
      <c r="A650" t="s">
        <v>648</v>
      </c>
      <c r="B650" t="s">
        <v>7</v>
      </c>
      <c r="C650" t="s">
        <v>8</v>
      </c>
      <c r="D650">
        <v>33560</v>
      </c>
      <c r="E650" t="s">
        <v>21</v>
      </c>
      <c r="F650" t="s">
        <v>28</v>
      </c>
    </row>
    <row r="651" spans="1:6" x14ac:dyDescent="0.25">
      <c r="A651" t="s">
        <v>649</v>
      </c>
      <c r="B651" t="s">
        <v>7</v>
      </c>
      <c r="C651" t="s">
        <v>8</v>
      </c>
      <c r="D651">
        <v>33890</v>
      </c>
      <c r="E651" t="s">
        <v>17</v>
      </c>
      <c r="F651" t="s">
        <v>28</v>
      </c>
    </row>
    <row r="652" spans="1:6" x14ac:dyDescent="0.25">
      <c r="A652" t="s">
        <v>650</v>
      </c>
      <c r="B652" t="s">
        <v>7</v>
      </c>
      <c r="C652" t="s">
        <v>42</v>
      </c>
      <c r="D652">
        <v>51740</v>
      </c>
      <c r="E652" t="s">
        <v>21</v>
      </c>
      <c r="F652" t="s">
        <v>24</v>
      </c>
    </row>
    <row r="653" spans="1:6" x14ac:dyDescent="0.25">
      <c r="A653" t="s">
        <v>651</v>
      </c>
      <c r="B653" t="s">
        <v>12</v>
      </c>
      <c r="C653" t="s">
        <v>53</v>
      </c>
      <c r="D653">
        <v>51650</v>
      </c>
      <c r="E653" t="s">
        <v>17</v>
      </c>
      <c r="F653" t="s">
        <v>14</v>
      </c>
    </row>
    <row r="654" spans="1:6" x14ac:dyDescent="0.25">
      <c r="A654" t="s">
        <v>652</v>
      </c>
      <c r="B654" t="s">
        <v>12</v>
      </c>
      <c r="C654" t="s">
        <v>50</v>
      </c>
      <c r="D654">
        <v>115980</v>
      </c>
      <c r="E654" t="s">
        <v>17</v>
      </c>
      <c r="F654" t="s">
        <v>14</v>
      </c>
    </row>
    <row r="655" spans="1:6" x14ac:dyDescent="0.25">
      <c r="A655" t="s">
        <v>653</v>
      </c>
      <c r="B655" t="s">
        <v>12</v>
      </c>
      <c r="C655" t="s">
        <v>8</v>
      </c>
      <c r="D655">
        <v>58370</v>
      </c>
      <c r="E655" t="s">
        <v>21</v>
      </c>
      <c r="F655" t="s">
        <v>14</v>
      </c>
    </row>
    <row r="656" spans="1:6" x14ac:dyDescent="0.25">
      <c r="A656" t="s">
        <v>543</v>
      </c>
      <c r="B656" t="s">
        <v>12</v>
      </c>
      <c r="C656" t="s">
        <v>50</v>
      </c>
      <c r="D656">
        <v>59430</v>
      </c>
      <c r="E656" t="s">
        <v>17</v>
      </c>
      <c r="F656" t="s">
        <v>28</v>
      </c>
    </row>
    <row r="657" spans="1:6" x14ac:dyDescent="0.25">
      <c r="A657" t="s">
        <v>654</v>
      </c>
      <c r="B657" t="s">
        <v>12</v>
      </c>
      <c r="C657" t="s">
        <v>37</v>
      </c>
      <c r="D657">
        <v>106670</v>
      </c>
      <c r="E657" t="s">
        <v>9</v>
      </c>
      <c r="F657" t="s">
        <v>28</v>
      </c>
    </row>
    <row r="658" spans="1:6" x14ac:dyDescent="0.25">
      <c r="A658" t="s">
        <v>655</v>
      </c>
      <c r="B658" t="s">
        <v>12</v>
      </c>
      <c r="C658" t="s">
        <v>53</v>
      </c>
      <c r="D658">
        <v>44850</v>
      </c>
      <c r="E658" t="s">
        <v>21</v>
      </c>
      <c r="F658" t="s">
        <v>10</v>
      </c>
    </row>
    <row r="659" spans="1:6" x14ac:dyDescent="0.25">
      <c r="A659" t="s">
        <v>656</v>
      </c>
      <c r="B659" t="s">
        <v>7</v>
      </c>
      <c r="C659" t="s">
        <v>53</v>
      </c>
      <c r="D659">
        <v>75600</v>
      </c>
      <c r="E659" t="s">
        <v>17</v>
      </c>
      <c r="F659" t="s">
        <v>28</v>
      </c>
    </row>
    <row r="660" spans="1:6" x14ac:dyDescent="0.25">
      <c r="A660" t="s">
        <v>657</v>
      </c>
      <c r="B660" t="s">
        <v>7</v>
      </c>
      <c r="C660" t="s">
        <v>37</v>
      </c>
      <c r="D660">
        <v>69120</v>
      </c>
      <c r="E660" t="s">
        <v>17</v>
      </c>
      <c r="F660" t="s">
        <v>28</v>
      </c>
    </row>
    <row r="661" spans="1:6" x14ac:dyDescent="0.25">
      <c r="A661" t="s">
        <v>658</v>
      </c>
      <c r="B661" t="s">
        <v>12</v>
      </c>
      <c r="C661" t="s">
        <v>27</v>
      </c>
      <c r="D661">
        <v>31200</v>
      </c>
      <c r="E661" t="s">
        <v>17</v>
      </c>
      <c r="F661" t="s">
        <v>51</v>
      </c>
    </row>
    <row r="662" spans="1:6" x14ac:dyDescent="0.25">
      <c r="A662" t="s">
        <v>659</v>
      </c>
      <c r="B662" t="s">
        <v>12</v>
      </c>
      <c r="C662" t="s">
        <v>31</v>
      </c>
      <c r="D662">
        <v>42160</v>
      </c>
      <c r="E662" t="s">
        <v>9</v>
      </c>
      <c r="F662" t="s">
        <v>10</v>
      </c>
    </row>
    <row r="663" spans="1:6" x14ac:dyDescent="0.25">
      <c r="A663" t="s">
        <v>660</v>
      </c>
      <c r="B663" t="s">
        <v>7</v>
      </c>
      <c r="C663" t="s">
        <v>31</v>
      </c>
      <c r="D663">
        <v>110830</v>
      </c>
      <c r="E663" t="s">
        <v>21</v>
      </c>
      <c r="F663" t="s">
        <v>28</v>
      </c>
    </row>
    <row r="664" spans="1:6" x14ac:dyDescent="0.25">
      <c r="A664" t="s">
        <v>661</v>
      </c>
      <c r="B664" t="s">
        <v>12</v>
      </c>
      <c r="C664" t="s">
        <v>67</v>
      </c>
      <c r="D664">
        <v>83180</v>
      </c>
      <c r="E664" t="s">
        <v>21</v>
      </c>
      <c r="F664" t="s">
        <v>28</v>
      </c>
    </row>
    <row r="665" spans="1:6" x14ac:dyDescent="0.25">
      <c r="A665" t="s">
        <v>576</v>
      </c>
      <c r="B665" t="s">
        <v>12</v>
      </c>
      <c r="C665" t="s">
        <v>50</v>
      </c>
      <c r="D665">
        <v>87620</v>
      </c>
      <c r="E665" t="s">
        <v>17</v>
      </c>
      <c r="F665" t="s">
        <v>10</v>
      </c>
    </row>
    <row r="666" spans="1:6" x14ac:dyDescent="0.25">
      <c r="A666" t="s">
        <v>662</v>
      </c>
      <c r="B666" t="s">
        <v>12</v>
      </c>
      <c r="C666" t="s">
        <v>50</v>
      </c>
      <c r="D666">
        <v>46750</v>
      </c>
      <c r="E666" t="s">
        <v>17</v>
      </c>
      <c r="F666" t="s">
        <v>14</v>
      </c>
    </row>
    <row r="667" spans="1:6" x14ac:dyDescent="0.25">
      <c r="A667" t="s">
        <v>663</v>
      </c>
      <c r="B667" t="s">
        <v>12</v>
      </c>
      <c r="C667" t="s">
        <v>34</v>
      </c>
      <c r="D667">
        <v>78540</v>
      </c>
      <c r="E667" t="s">
        <v>21</v>
      </c>
      <c r="F667" t="s">
        <v>28</v>
      </c>
    </row>
    <row r="668" spans="1:6" x14ac:dyDescent="0.25">
      <c r="A668" t="s">
        <v>664</v>
      </c>
      <c r="B668" t="s">
        <v>7</v>
      </c>
      <c r="C668" t="s">
        <v>27</v>
      </c>
      <c r="D668">
        <v>106930</v>
      </c>
      <c r="E668" t="s">
        <v>17</v>
      </c>
      <c r="F668" t="s">
        <v>51</v>
      </c>
    </row>
    <row r="669" spans="1:6" x14ac:dyDescent="0.25">
      <c r="A669" t="s">
        <v>665</v>
      </c>
      <c r="B669" t="s">
        <v>12</v>
      </c>
      <c r="C669" t="s">
        <v>50</v>
      </c>
      <c r="D669">
        <v>77000</v>
      </c>
      <c r="E669" t="s">
        <v>9</v>
      </c>
      <c r="F669" t="s">
        <v>28</v>
      </c>
    </row>
    <row r="670" spans="1:6" x14ac:dyDescent="0.25">
      <c r="A670" t="s">
        <v>666</v>
      </c>
      <c r="B670" t="s">
        <v>7</v>
      </c>
      <c r="C670" t="s">
        <v>37</v>
      </c>
      <c r="D670">
        <v>74920</v>
      </c>
      <c r="E670" t="s">
        <v>9</v>
      </c>
      <c r="F670" t="s">
        <v>28</v>
      </c>
    </row>
    <row r="671" spans="1:6" x14ac:dyDescent="0.25">
      <c r="A671" t="s">
        <v>667</v>
      </c>
      <c r="B671" t="s">
        <v>7</v>
      </c>
      <c r="C671" t="s">
        <v>53</v>
      </c>
      <c r="D671">
        <v>36550</v>
      </c>
      <c r="E671" t="s">
        <v>21</v>
      </c>
      <c r="F671" t="s">
        <v>28</v>
      </c>
    </row>
    <row r="672" spans="1:6" x14ac:dyDescent="0.25">
      <c r="A672" t="s">
        <v>668</v>
      </c>
      <c r="B672" t="s">
        <v>7</v>
      </c>
      <c r="C672" t="s">
        <v>53</v>
      </c>
      <c r="D672">
        <v>95950</v>
      </c>
      <c r="E672" t="s">
        <v>17</v>
      </c>
      <c r="F672" t="s">
        <v>28</v>
      </c>
    </row>
    <row r="673" spans="1:6" x14ac:dyDescent="0.25">
      <c r="A673" t="s">
        <v>669</v>
      </c>
      <c r="B673" t="s">
        <v>7</v>
      </c>
      <c r="C673" t="s">
        <v>31</v>
      </c>
      <c r="D673">
        <v>85880</v>
      </c>
      <c r="E673" t="s">
        <v>9</v>
      </c>
      <c r="F673" t="s">
        <v>10</v>
      </c>
    </row>
    <row r="674" spans="1:6" x14ac:dyDescent="0.25">
      <c r="A674" t="s">
        <v>670</v>
      </c>
      <c r="C674" t="s">
        <v>8</v>
      </c>
      <c r="D674">
        <v>77910</v>
      </c>
      <c r="E674" t="s">
        <v>21</v>
      </c>
      <c r="F674" t="s">
        <v>28</v>
      </c>
    </row>
    <row r="675" spans="1:6" x14ac:dyDescent="0.25">
      <c r="A675" t="s">
        <v>671</v>
      </c>
      <c r="B675" t="s">
        <v>7</v>
      </c>
      <c r="C675" t="s">
        <v>27</v>
      </c>
      <c r="D675">
        <v>116670</v>
      </c>
      <c r="E675" t="s">
        <v>21</v>
      </c>
      <c r="F675" t="s">
        <v>28</v>
      </c>
    </row>
    <row r="676" spans="1:6" x14ac:dyDescent="0.25">
      <c r="A676" t="s">
        <v>338</v>
      </c>
      <c r="B676" t="s">
        <v>7</v>
      </c>
      <c r="C676" t="s">
        <v>23</v>
      </c>
      <c r="D676">
        <v>92190</v>
      </c>
      <c r="E676" t="s">
        <v>21</v>
      </c>
      <c r="F676" t="s">
        <v>18</v>
      </c>
    </row>
    <row r="677" spans="1:6" x14ac:dyDescent="0.25">
      <c r="A677" t="s">
        <v>672</v>
      </c>
      <c r="B677" t="s">
        <v>12</v>
      </c>
      <c r="C677" t="s">
        <v>23</v>
      </c>
      <c r="D677">
        <v>71920</v>
      </c>
      <c r="E677" t="s">
        <v>17</v>
      </c>
      <c r="F677" t="s">
        <v>24</v>
      </c>
    </row>
    <row r="678" spans="1:6" x14ac:dyDescent="0.25">
      <c r="A678" t="s">
        <v>467</v>
      </c>
      <c r="B678" t="s">
        <v>7</v>
      </c>
      <c r="C678" t="s">
        <v>37</v>
      </c>
      <c r="D678">
        <v>66370</v>
      </c>
      <c r="E678" t="s">
        <v>17</v>
      </c>
      <c r="F678" t="s">
        <v>28</v>
      </c>
    </row>
    <row r="679" spans="1:6" x14ac:dyDescent="0.25">
      <c r="A679" t="s">
        <v>673</v>
      </c>
      <c r="B679" t="s">
        <v>12</v>
      </c>
      <c r="C679" t="s">
        <v>8</v>
      </c>
      <c r="D679">
        <v>39340</v>
      </c>
      <c r="E679" t="s">
        <v>21</v>
      </c>
      <c r="F679" t="s">
        <v>14</v>
      </c>
    </row>
    <row r="680" spans="1:6" x14ac:dyDescent="0.25">
      <c r="A680" t="s">
        <v>674</v>
      </c>
      <c r="B680" t="s">
        <v>12</v>
      </c>
      <c r="C680" t="s">
        <v>67</v>
      </c>
      <c r="E680" t="s">
        <v>17</v>
      </c>
      <c r="F680" t="s">
        <v>28</v>
      </c>
    </row>
    <row r="681" spans="1:6" x14ac:dyDescent="0.25">
      <c r="A681" t="s">
        <v>675</v>
      </c>
      <c r="B681" t="s">
        <v>7</v>
      </c>
      <c r="C681" t="s">
        <v>27</v>
      </c>
      <c r="D681">
        <v>103490</v>
      </c>
      <c r="E681" t="s">
        <v>17</v>
      </c>
      <c r="F681" t="s">
        <v>14</v>
      </c>
    </row>
    <row r="682" spans="1:6" x14ac:dyDescent="0.25">
      <c r="A682" t="s">
        <v>676</v>
      </c>
      <c r="B682" t="s">
        <v>12</v>
      </c>
      <c r="C682" t="s">
        <v>20</v>
      </c>
      <c r="D682">
        <v>87740</v>
      </c>
      <c r="E682" t="s">
        <v>21</v>
      </c>
      <c r="F682" t="s">
        <v>28</v>
      </c>
    </row>
    <row r="683" spans="1:6" x14ac:dyDescent="0.25">
      <c r="A683" t="s">
        <v>677</v>
      </c>
      <c r="B683" t="s">
        <v>12</v>
      </c>
      <c r="C683" t="s">
        <v>67</v>
      </c>
      <c r="D683">
        <v>113980</v>
      </c>
      <c r="E683" t="s">
        <v>9</v>
      </c>
      <c r="F683" t="s">
        <v>24</v>
      </c>
    </row>
    <row r="684" spans="1:6" x14ac:dyDescent="0.25">
      <c r="A684" t="s">
        <v>678</v>
      </c>
      <c r="B684" t="s">
        <v>12</v>
      </c>
      <c r="C684" t="s">
        <v>8</v>
      </c>
      <c r="E684" t="s">
        <v>9</v>
      </c>
      <c r="F684" t="s">
        <v>28</v>
      </c>
    </row>
    <row r="685" spans="1:6" x14ac:dyDescent="0.25">
      <c r="A685" t="s">
        <v>679</v>
      </c>
      <c r="B685" t="s">
        <v>12</v>
      </c>
      <c r="C685" t="s">
        <v>13</v>
      </c>
      <c r="D685">
        <v>41600</v>
      </c>
      <c r="E685" t="s">
        <v>17</v>
      </c>
      <c r="F685" t="s">
        <v>14</v>
      </c>
    </row>
    <row r="686" spans="1:6" x14ac:dyDescent="0.25">
      <c r="A686" t="s">
        <v>281</v>
      </c>
      <c r="B686" t="s">
        <v>12</v>
      </c>
      <c r="C686" t="s">
        <v>53</v>
      </c>
      <c r="D686">
        <v>76300</v>
      </c>
      <c r="E686" t="s">
        <v>21</v>
      </c>
      <c r="F686" t="s">
        <v>14</v>
      </c>
    </row>
    <row r="687" spans="1:6" x14ac:dyDescent="0.25">
      <c r="A687" t="s">
        <v>680</v>
      </c>
      <c r="B687" t="s">
        <v>7</v>
      </c>
      <c r="C687" t="s">
        <v>13</v>
      </c>
      <c r="D687">
        <v>114470</v>
      </c>
      <c r="E687" t="s">
        <v>9</v>
      </c>
      <c r="F687" t="s">
        <v>10</v>
      </c>
    </row>
    <row r="688" spans="1:6" x14ac:dyDescent="0.25">
      <c r="A688" t="s">
        <v>681</v>
      </c>
      <c r="B688" t="s">
        <v>12</v>
      </c>
      <c r="C688" t="s">
        <v>67</v>
      </c>
      <c r="D688">
        <v>31050</v>
      </c>
      <c r="E688" t="s">
        <v>21</v>
      </c>
      <c r="F688" t="s">
        <v>14</v>
      </c>
    </row>
    <row r="689" spans="1:6" x14ac:dyDescent="0.25">
      <c r="A689" t="s">
        <v>682</v>
      </c>
      <c r="B689" t="s">
        <v>12</v>
      </c>
      <c r="C689" t="s">
        <v>42</v>
      </c>
      <c r="D689">
        <v>76620</v>
      </c>
      <c r="E689" t="s">
        <v>17</v>
      </c>
      <c r="F689" t="s">
        <v>28</v>
      </c>
    </row>
    <row r="690" spans="1:6" x14ac:dyDescent="0.25">
      <c r="A690" t="s">
        <v>683</v>
      </c>
      <c r="B690" t="s">
        <v>7</v>
      </c>
      <c r="C690" t="s">
        <v>13</v>
      </c>
      <c r="D690">
        <v>76190</v>
      </c>
      <c r="E690" t="s">
        <v>17</v>
      </c>
      <c r="F690" t="s">
        <v>24</v>
      </c>
    </row>
    <row r="691" spans="1:6" x14ac:dyDescent="0.25">
      <c r="A691" t="s">
        <v>684</v>
      </c>
      <c r="B691" t="s">
        <v>12</v>
      </c>
      <c r="C691" t="s">
        <v>50</v>
      </c>
      <c r="D691">
        <v>50450</v>
      </c>
      <c r="E691" t="s">
        <v>9</v>
      </c>
      <c r="F691" t="s">
        <v>28</v>
      </c>
    </row>
    <row r="692" spans="1:6" x14ac:dyDescent="0.25">
      <c r="A692" t="s">
        <v>685</v>
      </c>
      <c r="B692" t="s">
        <v>7</v>
      </c>
      <c r="C692" t="s">
        <v>31</v>
      </c>
      <c r="D692">
        <v>29330</v>
      </c>
      <c r="E692" t="s">
        <v>21</v>
      </c>
      <c r="F692" t="s">
        <v>28</v>
      </c>
    </row>
    <row r="693" spans="1:6" x14ac:dyDescent="0.25">
      <c r="A693" t="s">
        <v>686</v>
      </c>
      <c r="B693" t="s">
        <v>7</v>
      </c>
      <c r="C693" t="s">
        <v>67</v>
      </c>
      <c r="D693">
        <v>76930</v>
      </c>
      <c r="E693" t="s">
        <v>17</v>
      </c>
      <c r="F693" t="s">
        <v>28</v>
      </c>
    </row>
    <row r="694" spans="1:6" x14ac:dyDescent="0.25">
      <c r="A694" t="s">
        <v>687</v>
      </c>
      <c r="B694" t="s">
        <v>12</v>
      </c>
      <c r="C694" t="s">
        <v>27</v>
      </c>
      <c r="D694">
        <v>33800</v>
      </c>
      <c r="E694" t="s">
        <v>17</v>
      </c>
      <c r="F694" t="s">
        <v>28</v>
      </c>
    </row>
    <row r="695" spans="1:6" x14ac:dyDescent="0.25">
      <c r="A695" t="s">
        <v>688</v>
      </c>
      <c r="B695" t="s">
        <v>12</v>
      </c>
      <c r="C695" t="s">
        <v>67</v>
      </c>
      <c r="D695">
        <v>44820</v>
      </c>
      <c r="E695" t="s">
        <v>17</v>
      </c>
      <c r="F695" t="s">
        <v>28</v>
      </c>
    </row>
    <row r="696" spans="1:6" x14ac:dyDescent="0.25">
      <c r="A696" t="s">
        <v>352</v>
      </c>
      <c r="C696" t="s">
        <v>13</v>
      </c>
      <c r="D696">
        <v>67010</v>
      </c>
      <c r="E696" t="s">
        <v>17</v>
      </c>
      <c r="F696" t="s">
        <v>14</v>
      </c>
    </row>
    <row r="697" spans="1:6" x14ac:dyDescent="0.25">
      <c r="A697" t="s">
        <v>689</v>
      </c>
      <c r="B697" t="s">
        <v>12</v>
      </c>
      <c r="C697" t="s">
        <v>50</v>
      </c>
      <c r="D697">
        <v>84310</v>
      </c>
      <c r="E697" t="s">
        <v>9</v>
      </c>
      <c r="F697" t="s">
        <v>28</v>
      </c>
    </row>
    <row r="698" spans="1:6" x14ac:dyDescent="0.25">
      <c r="A698" t="s">
        <v>690</v>
      </c>
      <c r="B698" t="s">
        <v>7</v>
      </c>
      <c r="C698" t="s">
        <v>20</v>
      </c>
      <c r="D698">
        <v>108600</v>
      </c>
      <c r="E698" t="s">
        <v>17</v>
      </c>
      <c r="F698" t="s">
        <v>10</v>
      </c>
    </row>
    <row r="699" spans="1:6" x14ac:dyDescent="0.25">
      <c r="A699" t="s">
        <v>691</v>
      </c>
      <c r="B699" t="s">
        <v>7</v>
      </c>
      <c r="C699" t="s">
        <v>37</v>
      </c>
      <c r="D699">
        <v>47000</v>
      </c>
      <c r="E699" t="s">
        <v>17</v>
      </c>
      <c r="F699" t="s">
        <v>14</v>
      </c>
    </row>
    <row r="700" spans="1:6" x14ac:dyDescent="0.25">
      <c r="A700" t="s">
        <v>692</v>
      </c>
      <c r="B700" t="s">
        <v>7</v>
      </c>
      <c r="C700" t="s">
        <v>37</v>
      </c>
      <c r="D700">
        <v>59810</v>
      </c>
      <c r="E700" t="s">
        <v>9</v>
      </c>
      <c r="F700" t="s">
        <v>28</v>
      </c>
    </row>
    <row r="701" spans="1:6" x14ac:dyDescent="0.25">
      <c r="A701" t="s">
        <v>693</v>
      </c>
      <c r="B701" t="s">
        <v>7</v>
      </c>
      <c r="C701" t="s">
        <v>20</v>
      </c>
      <c r="D701">
        <v>90340</v>
      </c>
      <c r="E701" t="s">
        <v>21</v>
      </c>
      <c r="F701" t="s">
        <v>28</v>
      </c>
    </row>
    <row r="702" spans="1:6" x14ac:dyDescent="0.25">
      <c r="A702" t="s">
        <v>287</v>
      </c>
      <c r="B702" t="s">
        <v>12</v>
      </c>
      <c r="C702" t="s">
        <v>42</v>
      </c>
      <c r="D702">
        <v>41600</v>
      </c>
      <c r="E702" t="s">
        <v>21</v>
      </c>
      <c r="F702" t="s">
        <v>24</v>
      </c>
    </row>
    <row r="703" spans="1:6" x14ac:dyDescent="0.25">
      <c r="A703" t="s">
        <v>444</v>
      </c>
      <c r="B703" t="s">
        <v>12</v>
      </c>
      <c r="C703" t="s">
        <v>8</v>
      </c>
      <c r="D703">
        <v>72350</v>
      </c>
      <c r="E703" t="s">
        <v>21</v>
      </c>
      <c r="F703" t="s">
        <v>24</v>
      </c>
    </row>
    <row r="704" spans="1:6" x14ac:dyDescent="0.25">
      <c r="A704" t="s">
        <v>694</v>
      </c>
      <c r="B704" t="s">
        <v>7</v>
      </c>
      <c r="C704" t="s">
        <v>20</v>
      </c>
      <c r="D704">
        <v>64270</v>
      </c>
      <c r="E704" t="s">
        <v>17</v>
      </c>
      <c r="F704" t="s">
        <v>28</v>
      </c>
    </row>
    <row r="705" spans="1:6" x14ac:dyDescent="0.25">
      <c r="A705" t="s">
        <v>695</v>
      </c>
      <c r="B705" t="s">
        <v>12</v>
      </c>
      <c r="C705" t="s">
        <v>53</v>
      </c>
      <c r="D705">
        <v>103990</v>
      </c>
      <c r="E705" t="s">
        <v>21</v>
      </c>
      <c r="F705" t="s">
        <v>10</v>
      </c>
    </row>
    <row r="706" spans="1:6" x14ac:dyDescent="0.25">
      <c r="A706" t="s">
        <v>696</v>
      </c>
      <c r="B706" t="s">
        <v>7</v>
      </c>
      <c r="C706" t="s">
        <v>8</v>
      </c>
      <c r="D706">
        <v>70380</v>
      </c>
      <c r="E706" t="s">
        <v>9</v>
      </c>
      <c r="F706" t="s">
        <v>14</v>
      </c>
    </row>
    <row r="707" spans="1:6" x14ac:dyDescent="0.25">
      <c r="A707" t="s">
        <v>697</v>
      </c>
      <c r="B707" t="s">
        <v>7</v>
      </c>
      <c r="C707" t="s">
        <v>20</v>
      </c>
      <c r="D707">
        <v>89020</v>
      </c>
      <c r="E707" t="s">
        <v>9</v>
      </c>
      <c r="F707" t="s">
        <v>28</v>
      </c>
    </row>
    <row r="708" spans="1:6" x14ac:dyDescent="0.25">
      <c r="A708" t="s">
        <v>698</v>
      </c>
      <c r="B708" t="s">
        <v>7</v>
      </c>
      <c r="C708" t="s">
        <v>20</v>
      </c>
      <c r="D708">
        <v>113750</v>
      </c>
      <c r="E708" t="s">
        <v>21</v>
      </c>
      <c r="F708" t="s">
        <v>28</v>
      </c>
    </row>
    <row r="709" spans="1:6" x14ac:dyDescent="0.25">
      <c r="A709" t="s">
        <v>699</v>
      </c>
      <c r="B709" t="s">
        <v>7</v>
      </c>
      <c r="C709" t="s">
        <v>53</v>
      </c>
      <c r="E709" t="s">
        <v>21</v>
      </c>
      <c r="F709" t="s">
        <v>28</v>
      </c>
    </row>
    <row r="710" spans="1:6" x14ac:dyDescent="0.25">
      <c r="A710" t="s">
        <v>700</v>
      </c>
      <c r="B710" t="s">
        <v>12</v>
      </c>
      <c r="C710" t="s">
        <v>13</v>
      </c>
      <c r="D710">
        <v>32720</v>
      </c>
      <c r="E710" t="s">
        <v>21</v>
      </c>
      <c r="F710" t="s">
        <v>28</v>
      </c>
    </row>
    <row r="711" spans="1:6" x14ac:dyDescent="0.25">
      <c r="A711" t="s">
        <v>701</v>
      </c>
      <c r="B711" t="s">
        <v>7</v>
      </c>
      <c r="C711" t="s">
        <v>31</v>
      </c>
      <c r="D711">
        <v>61920</v>
      </c>
      <c r="E711" t="s">
        <v>21</v>
      </c>
      <c r="F711" t="s">
        <v>28</v>
      </c>
    </row>
    <row r="712" spans="1:6" x14ac:dyDescent="0.25">
      <c r="A712" t="s">
        <v>702</v>
      </c>
      <c r="B712" t="s">
        <v>12</v>
      </c>
      <c r="C712" t="s">
        <v>67</v>
      </c>
      <c r="D712">
        <v>74600</v>
      </c>
      <c r="E712" t="s">
        <v>9</v>
      </c>
      <c r="F712" t="s">
        <v>10</v>
      </c>
    </row>
    <row r="713" spans="1:6" x14ac:dyDescent="0.25">
      <c r="A713" t="s">
        <v>703</v>
      </c>
      <c r="B713" t="s">
        <v>7</v>
      </c>
      <c r="C713" t="s">
        <v>42</v>
      </c>
      <c r="D713">
        <v>38030</v>
      </c>
      <c r="E713" t="s">
        <v>17</v>
      </c>
      <c r="F713" t="s">
        <v>28</v>
      </c>
    </row>
    <row r="714" spans="1:6" x14ac:dyDescent="0.25">
      <c r="A714" t="s">
        <v>704</v>
      </c>
      <c r="B714" t="s">
        <v>12</v>
      </c>
      <c r="C714" t="s">
        <v>31</v>
      </c>
      <c r="D714">
        <v>30940</v>
      </c>
      <c r="E714" t="s">
        <v>21</v>
      </c>
      <c r="F714" t="s">
        <v>51</v>
      </c>
    </row>
    <row r="715" spans="1:6" x14ac:dyDescent="0.25">
      <c r="A715" t="s">
        <v>705</v>
      </c>
      <c r="B715" t="s">
        <v>7</v>
      </c>
      <c r="C715" t="s">
        <v>31</v>
      </c>
      <c r="D715">
        <v>28870</v>
      </c>
      <c r="E715" t="s">
        <v>21</v>
      </c>
      <c r="F715" t="s">
        <v>28</v>
      </c>
    </row>
    <row r="716" spans="1:6" x14ac:dyDescent="0.25">
      <c r="A716" t="s">
        <v>706</v>
      </c>
      <c r="B716" t="s">
        <v>12</v>
      </c>
      <c r="C716" t="s">
        <v>67</v>
      </c>
      <c r="D716">
        <v>71210</v>
      </c>
      <c r="E716" t="s">
        <v>17</v>
      </c>
      <c r="F716" t="s">
        <v>10</v>
      </c>
    </row>
    <row r="717" spans="1:6" x14ac:dyDescent="0.25">
      <c r="A717" t="s">
        <v>707</v>
      </c>
      <c r="B717" t="s">
        <v>7</v>
      </c>
      <c r="C717" t="s">
        <v>42</v>
      </c>
      <c r="D717">
        <v>63450</v>
      </c>
      <c r="E717" t="s">
        <v>21</v>
      </c>
      <c r="F717" t="s">
        <v>14</v>
      </c>
    </row>
    <row r="718" spans="1:6" x14ac:dyDescent="0.25">
      <c r="A718" t="s">
        <v>708</v>
      </c>
      <c r="B718" t="s">
        <v>12</v>
      </c>
      <c r="C718" t="s">
        <v>31</v>
      </c>
      <c r="D718">
        <v>87930</v>
      </c>
      <c r="E718" t="s">
        <v>17</v>
      </c>
      <c r="F718" t="s">
        <v>51</v>
      </c>
    </row>
    <row r="719" spans="1:6" x14ac:dyDescent="0.25">
      <c r="A719" t="s">
        <v>61</v>
      </c>
      <c r="B719" t="s">
        <v>7</v>
      </c>
      <c r="C719" t="s">
        <v>50</v>
      </c>
      <c r="D719">
        <v>69070</v>
      </c>
      <c r="E719" t="s">
        <v>17</v>
      </c>
      <c r="F719" t="s">
        <v>28</v>
      </c>
    </row>
    <row r="720" spans="1:6" x14ac:dyDescent="0.25">
      <c r="A720" t="s">
        <v>709</v>
      </c>
      <c r="B720" t="s">
        <v>7</v>
      </c>
      <c r="C720" t="s">
        <v>34</v>
      </c>
      <c r="D720">
        <v>101610</v>
      </c>
      <c r="E720" t="s">
        <v>21</v>
      </c>
      <c r="F720" t="s">
        <v>28</v>
      </c>
    </row>
    <row r="721" spans="1:6" x14ac:dyDescent="0.25">
      <c r="A721" t="s">
        <v>710</v>
      </c>
      <c r="B721" t="s">
        <v>12</v>
      </c>
      <c r="C721" t="s">
        <v>31</v>
      </c>
      <c r="D721">
        <v>28310</v>
      </c>
      <c r="E721" t="s">
        <v>17</v>
      </c>
      <c r="F721" t="s">
        <v>28</v>
      </c>
    </row>
    <row r="722" spans="1:6" x14ac:dyDescent="0.25">
      <c r="A722" t="s">
        <v>711</v>
      </c>
      <c r="B722" t="s">
        <v>7</v>
      </c>
      <c r="C722" t="s">
        <v>20</v>
      </c>
      <c r="D722">
        <v>89840</v>
      </c>
      <c r="E722" t="s">
        <v>17</v>
      </c>
      <c r="F722" t="s">
        <v>10</v>
      </c>
    </row>
    <row r="723" spans="1:6" x14ac:dyDescent="0.25">
      <c r="A723" t="s">
        <v>712</v>
      </c>
      <c r="B723" t="s">
        <v>7</v>
      </c>
      <c r="C723" t="s">
        <v>23</v>
      </c>
      <c r="D723">
        <v>96250</v>
      </c>
      <c r="E723" t="s">
        <v>9</v>
      </c>
      <c r="F723" t="s">
        <v>28</v>
      </c>
    </row>
    <row r="724" spans="1:6" x14ac:dyDescent="0.25">
      <c r="A724" t="s">
        <v>713</v>
      </c>
      <c r="B724" t="s">
        <v>7</v>
      </c>
      <c r="C724" t="s">
        <v>37</v>
      </c>
      <c r="D724">
        <v>112460</v>
      </c>
      <c r="E724" t="s">
        <v>21</v>
      </c>
      <c r="F724" t="s">
        <v>24</v>
      </c>
    </row>
    <row r="725" spans="1:6" x14ac:dyDescent="0.25">
      <c r="A725" t="s">
        <v>714</v>
      </c>
      <c r="C725" t="s">
        <v>27</v>
      </c>
      <c r="D725">
        <v>115440</v>
      </c>
      <c r="E725" t="s">
        <v>17</v>
      </c>
      <c r="F725" t="s">
        <v>28</v>
      </c>
    </row>
    <row r="726" spans="1:6" x14ac:dyDescent="0.25">
      <c r="A726" t="s">
        <v>715</v>
      </c>
      <c r="B726" t="s">
        <v>12</v>
      </c>
      <c r="C726" t="s">
        <v>42</v>
      </c>
      <c r="D726">
        <v>33920</v>
      </c>
      <c r="E726" t="s">
        <v>21</v>
      </c>
      <c r="F726" t="s">
        <v>28</v>
      </c>
    </row>
    <row r="727" spans="1:6" x14ac:dyDescent="0.25">
      <c r="A727" t="s">
        <v>716</v>
      </c>
      <c r="B727" t="s">
        <v>7</v>
      </c>
      <c r="C727" t="s">
        <v>23</v>
      </c>
      <c r="D727">
        <v>46280</v>
      </c>
      <c r="E727" t="s">
        <v>9</v>
      </c>
      <c r="F727" t="s">
        <v>28</v>
      </c>
    </row>
    <row r="728" spans="1:6" x14ac:dyDescent="0.25">
      <c r="A728" t="s">
        <v>717</v>
      </c>
      <c r="B728" t="s">
        <v>12</v>
      </c>
      <c r="C728" t="s">
        <v>23</v>
      </c>
      <c r="D728">
        <v>58940</v>
      </c>
      <c r="E728" t="s">
        <v>21</v>
      </c>
      <c r="F728" t="s">
        <v>28</v>
      </c>
    </row>
    <row r="729" spans="1:6" x14ac:dyDescent="0.25">
      <c r="A729" t="s">
        <v>718</v>
      </c>
      <c r="B729" t="s">
        <v>12</v>
      </c>
      <c r="C729" t="s">
        <v>67</v>
      </c>
      <c r="D729">
        <v>118980</v>
      </c>
      <c r="E729" t="s">
        <v>17</v>
      </c>
      <c r="F729" t="s">
        <v>18</v>
      </c>
    </row>
    <row r="730" spans="1:6" x14ac:dyDescent="0.25">
      <c r="A730" t="s">
        <v>719</v>
      </c>
      <c r="B730" t="s">
        <v>7</v>
      </c>
      <c r="C730" t="s">
        <v>8</v>
      </c>
      <c r="D730">
        <v>96750</v>
      </c>
      <c r="E730" t="s">
        <v>21</v>
      </c>
      <c r="F730" t="s">
        <v>28</v>
      </c>
    </row>
    <row r="731" spans="1:6" x14ac:dyDescent="0.25">
      <c r="A731" t="s">
        <v>720</v>
      </c>
      <c r="C731" t="s">
        <v>20</v>
      </c>
      <c r="D731">
        <v>101220</v>
      </c>
      <c r="E731" t="s">
        <v>21</v>
      </c>
      <c r="F731" t="s">
        <v>14</v>
      </c>
    </row>
    <row r="732" spans="1:6" x14ac:dyDescent="0.25">
      <c r="A732" t="s">
        <v>721</v>
      </c>
      <c r="B732" t="s">
        <v>7</v>
      </c>
      <c r="C732" t="s">
        <v>37</v>
      </c>
      <c r="D732">
        <v>63020</v>
      </c>
      <c r="E732" t="s">
        <v>17</v>
      </c>
      <c r="F732" t="s">
        <v>28</v>
      </c>
    </row>
    <row r="733" spans="1:6" x14ac:dyDescent="0.25">
      <c r="A733" t="s">
        <v>722</v>
      </c>
      <c r="B733" t="s">
        <v>7</v>
      </c>
      <c r="C733" t="s">
        <v>34</v>
      </c>
      <c r="D733">
        <v>75920</v>
      </c>
      <c r="E733" t="s">
        <v>21</v>
      </c>
      <c r="F733" t="s">
        <v>14</v>
      </c>
    </row>
    <row r="734" spans="1:6" x14ac:dyDescent="0.25">
      <c r="A734" t="s">
        <v>723</v>
      </c>
      <c r="B734" t="s">
        <v>7</v>
      </c>
      <c r="C734" t="s">
        <v>20</v>
      </c>
      <c r="D734">
        <v>93080</v>
      </c>
      <c r="E734" t="s">
        <v>9</v>
      </c>
      <c r="F734" t="s">
        <v>28</v>
      </c>
    </row>
    <row r="735" spans="1:6" x14ac:dyDescent="0.25">
      <c r="A735" t="s">
        <v>724</v>
      </c>
      <c r="B735" t="s">
        <v>7</v>
      </c>
      <c r="C735" t="s">
        <v>8</v>
      </c>
      <c r="D735">
        <v>68860</v>
      </c>
      <c r="E735" t="s">
        <v>9</v>
      </c>
      <c r="F735" t="s">
        <v>14</v>
      </c>
    </row>
    <row r="736" spans="1:6" x14ac:dyDescent="0.25">
      <c r="A736" t="s">
        <v>725</v>
      </c>
      <c r="B736" t="s">
        <v>7</v>
      </c>
      <c r="C736" t="s">
        <v>13</v>
      </c>
      <c r="D736">
        <v>118980</v>
      </c>
      <c r="E736" t="s">
        <v>17</v>
      </c>
      <c r="F736" t="s">
        <v>24</v>
      </c>
    </row>
    <row r="737" spans="1:6" x14ac:dyDescent="0.25">
      <c r="A737" t="s">
        <v>726</v>
      </c>
      <c r="C737" t="s">
        <v>20</v>
      </c>
      <c r="D737">
        <v>106460</v>
      </c>
      <c r="E737" t="s">
        <v>9</v>
      </c>
      <c r="F737" t="s">
        <v>14</v>
      </c>
    </row>
    <row r="738" spans="1:6" x14ac:dyDescent="0.25">
      <c r="A738" t="s">
        <v>727</v>
      </c>
      <c r="B738" t="s">
        <v>12</v>
      </c>
      <c r="C738" t="s">
        <v>34</v>
      </c>
      <c r="D738">
        <v>70650</v>
      </c>
      <c r="E738" t="s">
        <v>21</v>
      </c>
      <c r="F738" t="s">
        <v>14</v>
      </c>
    </row>
    <row r="739" spans="1:6" x14ac:dyDescent="0.25">
      <c r="A739" t="s">
        <v>728</v>
      </c>
      <c r="B739" t="s">
        <v>7</v>
      </c>
      <c r="C739" t="s">
        <v>16</v>
      </c>
      <c r="D739">
        <v>101120</v>
      </c>
      <c r="E739" t="s">
        <v>21</v>
      </c>
      <c r="F739" t="s">
        <v>10</v>
      </c>
    </row>
    <row r="740" spans="1:6" x14ac:dyDescent="0.25">
      <c r="A740" t="s">
        <v>729</v>
      </c>
      <c r="B740" t="s">
        <v>12</v>
      </c>
      <c r="C740" t="s">
        <v>8</v>
      </c>
      <c r="D740">
        <v>77050</v>
      </c>
      <c r="E740" t="s">
        <v>17</v>
      </c>
      <c r="F740" t="s">
        <v>14</v>
      </c>
    </row>
    <row r="741" spans="1:6" x14ac:dyDescent="0.25">
      <c r="A741" t="s">
        <v>293</v>
      </c>
      <c r="B741" t="s">
        <v>12</v>
      </c>
      <c r="C741" t="s">
        <v>8</v>
      </c>
      <c r="D741">
        <v>41930</v>
      </c>
      <c r="E741" t="s">
        <v>17</v>
      </c>
      <c r="F741" t="s">
        <v>24</v>
      </c>
    </row>
    <row r="742" spans="1:6" x14ac:dyDescent="0.25">
      <c r="A742" t="s">
        <v>730</v>
      </c>
      <c r="B742" t="s">
        <v>12</v>
      </c>
      <c r="C742" t="s">
        <v>20</v>
      </c>
      <c r="D742">
        <v>89360</v>
      </c>
      <c r="E742" t="s">
        <v>17</v>
      </c>
      <c r="F742" t="s">
        <v>14</v>
      </c>
    </row>
    <row r="743" spans="1:6" x14ac:dyDescent="0.25">
      <c r="A743" t="s">
        <v>731</v>
      </c>
      <c r="B743" t="s">
        <v>12</v>
      </c>
      <c r="C743" t="s">
        <v>20</v>
      </c>
      <c r="D743">
        <v>37840</v>
      </c>
      <c r="E743" t="s">
        <v>21</v>
      </c>
      <c r="F743" t="s">
        <v>24</v>
      </c>
    </row>
    <row r="744" spans="1:6" x14ac:dyDescent="0.25">
      <c r="A744" t="s">
        <v>732</v>
      </c>
      <c r="B744" t="s">
        <v>7</v>
      </c>
      <c r="C744" t="s">
        <v>34</v>
      </c>
      <c r="D744">
        <v>89160</v>
      </c>
      <c r="E744" t="s">
        <v>17</v>
      </c>
      <c r="F744" t="s">
        <v>28</v>
      </c>
    </row>
    <row r="745" spans="1:6" x14ac:dyDescent="0.25">
      <c r="A745" t="s">
        <v>733</v>
      </c>
      <c r="B745" t="s">
        <v>12</v>
      </c>
      <c r="C745" t="s">
        <v>42</v>
      </c>
      <c r="D745">
        <v>74110</v>
      </c>
      <c r="E745" t="s">
        <v>21</v>
      </c>
      <c r="F745" t="s">
        <v>10</v>
      </c>
    </row>
    <row r="746" spans="1:6" x14ac:dyDescent="0.25">
      <c r="A746" t="s">
        <v>734</v>
      </c>
      <c r="B746" t="s">
        <v>7</v>
      </c>
      <c r="C746" t="s">
        <v>31</v>
      </c>
      <c r="D746">
        <v>31630</v>
      </c>
      <c r="E746" t="s">
        <v>21</v>
      </c>
      <c r="F746" t="s">
        <v>24</v>
      </c>
    </row>
    <row r="747" spans="1:6" x14ac:dyDescent="0.25">
      <c r="A747" t="s">
        <v>735</v>
      </c>
      <c r="B747" t="s">
        <v>12</v>
      </c>
      <c r="C747" t="s">
        <v>50</v>
      </c>
      <c r="D747">
        <v>40910</v>
      </c>
      <c r="E747" t="s">
        <v>17</v>
      </c>
      <c r="F747" t="s">
        <v>24</v>
      </c>
    </row>
    <row r="748" spans="1:6" x14ac:dyDescent="0.25">
      <c r="A748" t="s">
        <v>736</v>
      </c>
      <c r="B748" t="s">
        <v>7</v>
      </c>
      <c r="C748" t="s">
        <v>8</v>
      </c>
      <c r="D748">
        <v>32190</v>
      </c>
      <c r="E748" t="s">
        <v>21</v>
      </c>
      <c r="F748" t="s">
        <v>28</v>
      </c>
    </row>
    <row r="749" spans="1:6" x14ac:dyDescent="0.25">
      <c r="A749" t="s">
        <v>737</v>
      </c>
      <c r="B749" t="s">
        <v>12</v>
      </c>
      <c r="C749" t="s">
        <v>27</v>
      </c>
      <c r="D749">
        <v>73490</v>
      </c>
      <c r="E749" t="s">
        <v>21</v>
      </c>
      <c r="F749" t="s">
        <v>24</v>
      </c>
    </row>
    <row r="750" spans="1:6" x14ac:dyDescent="0.25">
      <c r="A750" t="s">
        <v>738</v>
      </c>
      <c r="B750" t="s">
        <v>7</v>
      </c>
      <c r="C750" t="s">
        <v>37</v>
      </c>
      <c r="D750">
        <v>52220</v>
      </c>
      <c r="E750" t="s">
        <v>21</v>
      </c>
      <c r="F750" t="s">
        <v>28</v>
      </c>
    </row>
    <row r="751" spans="1:6" x14ac:dyDescent="0.25">
      <c r="A751" t="s">
        <v>739</v>
      </c>
      <c r="B751" t="s">
        <v>12</v>
      </c>
      <c r="C751" t="s">
        <v>23</v>
      </c>
      <c r="D751">
        <v>68900</v>
      </c>
      <c r="E751" t="s">
        <v>17</v>
      </c>
      <c r="F751" t="s">
        <v>28</v>
      </c>
    </row>
    <row r="752" spans="1:6" x14ac:dyDescent="0.25">
      <c r="A752" t="s">
        <v>740</v>
      </c>
      <c r="B752" t="s">
        <v>12</v>
      </c>
      <c r="C752" t="s">
        <v>8</v>
      </c>
      <c r="D752">
        <v>83750</v>
      </c>
      <c r="E752" t="s">
        <v>17</v>
      </c>
      <c r="F752" t="s">
        <v>28</v>
      </c>
    </row>
    <row r="753" spans="1:6" x14ac:dyDescent="0.25">
      <c r="A753" t="s">
        <v>741</v>
      </c>
      <c r="B753" t="s">
        <v>7</v>
      </c>
      <c r="C753" t="s">
        <v>23</v>
      </c>
      <c r="D753">
        <v>110970</v>
      </c>
      <c r="E753" t="s">
        <v>21</v>
      </c>
      <c r="F753" t="s">
        <v>18</v>
      </c>
    </row>
    <row r="754" spans="1:6" x14ac:dyDescent="0.25">
      <c r="A754" t="s">
        <v>742</v>
      </c>
      <c r="B754" t="s">
        <v>12</v>
      </c>
      <c r="C754" t="s">
        <v>34</v>
      </c>
      <c r="D754">
        <v>49520</v>
      </c>
      <c r="E754" t="s">
        <v>17</v>
      </c>
      <c r="F754" t="s">
        <v>28</v>
      </c>
    </row>
    <row r="755" spans="1:6" x14ac:dyDescent="0.25">
      <c r="A755" t="s">
        <v>743</v>
      </c>
      <c r="B755" t="s">
        <v>12</v>
      </c>
      <c r="C755" t="s">
        <v>34</v>
      </c>
      <c r="D755">
        <v>86560</v>
      </c>
      <c r="E755" t="s">
        <v>21</v>
      </c>
      <c r="F755" t="s">
        <v>28</v>
      </c>
    </row>
    <row r="756" spans="1:6" x14ac:dyDescent="0.25">
      <c r="A756" t="s">
        <v>744</v>
      </c>
      <c r="B756" t="s">
        <v>12</v>
      </c>
      <c r="C756" t="s">
        <v>23</v>
      </c>
      <c r="D756">
        <v>35830</v>
      </c>
      <c r="E756" t="s">
        <v>21</v>
      </c>
      <c r="F756" t="s">
        <v>28</v>
      </c>
    </row>
    <row r="757" spans="1:6" x14ac:dyDescent="0.25">
      <c r="A757" t="s">
        <v>745</v>
      </c>
      <c r="B757" t="s">
        <v>12</v>
      </c>
      <c r="C757" t="s">
        <v>23</v>
      </c>
      <c r="D757">
        <v>53910</v>
      </c>
      <c r="E757" t="s">
        <v>21</v>
      </c>
      <c r="F757" t="s">
        <v>14</v>
      </c>
    </row>
    <row r="758" spans="1:6" x14ac:dyDescent="0.25">
      <c r="A758" t="s">
        <v>746</v>
      </c>
      <c r="B758" t="s">
        <v>12</v>
      </c>
      <c r="C758" t="s">
        <v>13</v>
      </c>
      <c r="D758">
        <v>109870</v>
      </c>
      <c r="E758" t="s">
        <v>21</v>
      </c>
      <c r="F758" t="s">
        <v>28</v>
      </c>
    </row>
    <row r="759" spans="1:6" x14ac:dyDescent="0.25">
      <c r="A759" t="s">
        <v>747</v>
      </c>
      <c r="B759" t="s">
        <v>7</v>
      </c>
      <c r="C759" t="s">
        <v>13</v>
      </c>
      <c r="D759">
        <v>61620</v>
      </c>
      <c r="E759" t="s">
        <v>17</v>
      </c>
      <c r="F759" t="s">
        <v>28</v>
      </c>
    </row>
    <row r="760" spans="1:6" x14ac:dyDescent="0.25">
      <c r="A760" t="s">
        <v>748</v>
      </c>
      <c r="C760" t="s">
        <v>27</v>
      </c>
      <c r="D760">
        <v>67960</v>
      </c>
      <c r="E760" t="s">
        <v>17</v>
      </c>
      <c r="F760" t="s">
        <v>28</v>
      </c>
    </row>
    <row r="761" spans="1:6" x14ac:dyDescent="0.25">
      <c r="A761" t="s">
        <v>749</v>
      </c>
      <c r="B761" t="s">
        <v>12</v>
      </c>
      <c r="C761" t="s">
        <v>42</v>
      </c>
      <c r="D761">
        <v>57000</v>
      </c>
      <c r="E761" t="s">
        <v>17</v>
      </c>
      <c r="F761" t="s">
        <v>51</v>
      </c>
    </row>
    <row r="762" spans="1:6" x14ac:dyDescent="0.25">
      <c r="A762" t="s">
        <v>750</v>
      </c>
      <c r="B762" t="s">
        <v>7</v>
      </c>
      <c r="C762" t="s">
        <v>8</v>
      </c>
      <c r="D762">
        <v>70610</v>
      </c>
      <c r="E762" t="s">
        <v>9</v>
      </c>
      <c r="F762" t="s">
        <v>28</v>
      </c>
    </row>
    <row r="763" spans="1:6" x14ac:dyDescent="0.25">
      <c r="A763" t="s">
        <v>751</v>
      </c>
      <c r="B763" t="s">
        <v>12</v>
      </c>
      <c r="C763" t="s">
        <v>42</v>
      </c>
      <c r="D763">
        <v>51860</v>
      </c>
      <c r="E763" t="s">
        <v>17</v>
      </c>
      <c r="F763" t="s">
        <v>14</v>
      </c>
    </row>
    <row r="764" spans="1:6" x14ac:dyDescent="0.25">
      <c r="A764" t="s">
        <v>752</v>
      </c>
      <c r="B764" t="s">
        <v>12</v>
      </c>
      <c r="C764" t="s">
        <v>13</v>
      </c>
      <c r="D764">
        <v>60130</v>
      </c>
      <c r="E764" t="s">
        <v>17</v>
      </c>
      <c r="F764" t="s">
        <v>28</v>
      </c>
    </row>
    <row r="765" spans="1:6" x14ac:dyDescent="0.25">
      <c r="A765" t="s">
        <v>753</v>
      </c>
      <c r="B765" t="s">
        <v>7</v>
      </c>
      <c r="C765" t="s">
        <v>50</v>
      </c>
      <c r="D765">
        <v>72040</v>
      </c>
      <c r="E765" t="s">
        <v>21</v>
      </c>
      <c r="F765" t="s">
        <v>24</v>
      </c>
    </row>
    <row r="766" spans="1:6" x14ac:dyDescent="0.25">
      <c r="A766" t="s">
        <v>754</v>
      </c>
      <c r="B766" t="s">
        <v>12</v>
      </c>
      <c r="C766" t="s">
        <v>37</v>
      </c>
      <c r="D766">
        <v>108450</v>
      </c>
      <c r="E766" t="s">
        <v>9</v>
      </c>
      <c r="F766" t="s">
        <v>14</v>
      </c>
    </row>
    <row r="767" spans="1:6" x14ac:dyDescent="0.25">
      <c r="A767" t="s">
        <v>755</v>
      </c>
      <c r="B767" t="s">
        <v>7</v>
      </c>
      <c r="C767" t="s">
        <v>67</v>
      </c>
      <c r="D767">
        <v>58260</v>
      </c>
      <c r="E767" t="s">
        <v>17</v>
      </c>
      <c r="F767" t="s">
        <v>28</v>
      </c>
    </row>
    <row r="768" spans="1:6" x14ac:dyDescent="0.25">
      <c r="A768" t="s">
        <v>59</v>
      </c>
      <c r="B768" t="s">
        <v>7</v>
      </c>
      <c r="C768" t="s">
        <v>16</v>
      </c>
      <c r="D768">
        <v>112650</v>
      </c>
      <c r="E768" t="s">
        <v>9</v>
      </c>
      <c r="F768" t="s">
        <v>28</v>
      </c>
    </row>
    <row r="769" spans="1:6" x14ac:dyDescent="0.25">
      <c r="A769" t="s">
        <v>664</v>
      </c>
      <c r="B769" t="s">
        <v>7</v>
      </c>
      <c r="C769" t="s">
        <v>27</v>
      </c>
      <c r="D769">
        <v>106930</v>
      </c>
      <c r="E769" t="s">
        <v>21</v>
      </c>
      <c r="F769" t="s">
        <v>28</v>
      </c>
    </row>
    <row r="770" spans="1:6" x14ac:dyDescent="0.25">
      <c r="A770" t="s">
        <v>756</v>
      </c>
      <c r="C770" t="s">
        <v>50</v>
      </c>
      <c r="D770">
        <v>70020</v>
      </c>
      <c r="E770" t="s">
        <v>17</v>
      </c>
      <c r="F770" t="s">
        <v>28</v>
      </c>
    </row>
    <row r="771" spans="1:6" x14ac:dyDescent="0.25">
      <c r="A771" t="s">
        <v>757</v>
      </c>
      <c r="B771" t="s">
        <v>7</v>
      </c>
      <c r="C771" t="s">
        <v>13</v>
      </c>
      <c r="E771" t="s">
        <v>17</v>
      </c>
      <c r="F771" t="s">
        <v>14</v>
      </c>
    </row>
    <row r="772" spans="1:6" x14ac:dyDescent="0.25">
      <c r="A772" t="s">
        <v>758</v>
      </c>
      <c r="B772" t="s">
        <v>12</v>
      </c>
      <c r="C772" t="s">
        <v>27</v>
      </c>
      <c r="D772">
        <v>35670</v>
      </c>
      <c r="E772" t="s">
        <v>21</v>
      </c>
      <c r="F772" t="s">
        <v>28</v>
      </c>
    </row>
    <row r="773" spans="1:6" x14ac:dyDescent="0.25">
      <c r="A773" t="s">
        <v>759</v>
      </c>
      <c r="B773" t="s">
        <v>12</v>
      </c>
      <c r="C773" t="s">
        <v>8</v>
      </c>
      <c r="E773" t="s">
        <v>21</v>
      </c>
      <c r="F773" t="s">
        <v>28</v>
      </c>
    </row>
    <row r="774" spans="1:6" x14ac:dyDescent="0.25">
      <c r="A774" t="s">
        <v>760</v>
      </c>
      <c r="B774" t="s">
        <v>7</v>
      </c>
      <c r="C774" t="s">
        <v>53</v>
      </c>
      <c r="D774">
        <v>67630</v>
      </c>
      <c r="E774" t="s">
        <v>17</v>
      </c>
      <c r="F774" t="s">
        <v>28</v>
      </c>
    </row>
    <row r="775" spans="1:6" x14ac:dyDescent="0.25">
      <c r="A775" t="s">
        <v>761</v>
      </c>
      <c r="B775" t="s">
        <v>12</v>
      </c>
      <c r="C775" t="s">
        <v>27</v>
      </c>
      <c r="D775">
        <v>82300</v>
      </c>
      <c r="E775" t="s">
        <v>21</v>
      </c>
      <c r="F775" t="s">
        <v>18</v>
      </c>
    </row>
    <row r="776" spans="1:6" x14ac:dyDescent="0.25">
      <c r="A776" t="s">
        <v>762</v>
      </c>
      <c r="B776" t="s">
        <v>12</v>
      </c>
      <c r="C776" t="s">
        <v>34</v>
      </c>
      <c r="D776">
        <v>114870</v>
      </c>
      <c r="E776" t="s">
        <v>9</v>
      </c>
      <c r="F776" t="s">
        <v>18</v>
      </c>
    </row>
    <row r="777" spans="1:6" x14ac:dyDescent="0.25">
      <c r="A777" t="s">
        <v>763</v>
      </c>
      <c r="B777" t="s">
        <v>7</v>
      </c>
      <c r="C777" t="s">
        <v>8</v>
      </c>
      <c r="D777">
        <v>71030</v>
      </c>
      <c r="E777" t="s">
        <v>9</v>
      </c>
      <c r="F777" t="s">
        <v>28</v>
      </c>
    </row>
    <row r="778" spans="1:6" x14ac:dyDescent="0.25">
      <c r="A778" t="s">
        <v>513</v>
      </c>
      <c r="B778" t="s">
        <v>7</v>
      </c>
      <c r="C778" t="s">
        <v>50</v>
      </c>
      <c r="D778">
        <v>52750</v>
      </c>
      <c r="E778" t="s">
        <v>17</v>
      </c>
      <c r="F778" t="s">
        <v>28</v>
      </c>
    </row>
    <row r="779" spans="1:6" x14ac:dyDescent="0.25">
      <c r="A779" t="s">
        <v>764</v>
      </c>
      <c r="B779" t="s">
        <v>12</v>
      </c>
      <c r="C779" t="s">
        <v>23</v>
      </c>
      <c r="D779">
        <v>85670</v>
      </c>
      <c r="E779" t="s">
        <v>21</v>
      </c>
      <c r="F779" t="s">
        <v>28</v>
      </c>
    </row>
    <row r="780" spans="1:6" x14ac:dyDescent="0.25">
      <c r="A780" t="s">
        <v>765</v>
      </c>
      <c r="B780" t="s">
        <v>12</v>
      </c>
      <c r="C780" t="s">
        <v>37</v>
      </c>
      <c r="E780" t="s">
        <v>21</v>
      </c>
      <c r="F780" t="s">
        <v>14</v>
      </c>
    </row>
    <row r="781" spans="1:6" x14ac:dyDescent="0.25">
      <c r="A781" t="s">
        <v>766</v>
      </c>
      <c r="B781" t="s">
        <v>7</v>
      </c>
      <c r="C781" t="s">
        <v>34</v>
      </c>
      <c r="D781">
        <v>61700</v>
      </c>
      <c r="E781" t="s">
        <v>21</v>
      </c>
      <c r="F781" t="s">
        <v>28</v>
      </c>
    </row>
    <row r="782" spans="1:6" x14ac:dyDescent="0.25">
      <c r="A782" t="s">
        <v>767</v>
      </c>
      <c r="B782" t="s">
        <v>7</v>
      </c>
      <c r="C782" t="s">
        <v>20</v>
      </c>
      <c r="D782">
        <v>66140</v>
      </c>
      <c r="E782" t="s">
        <v>17</v>
      </c>
      <c r="F782" t="s">
        <v>14</v>
      </c>
    </row>
    <row r="783" spans="1:6" x14ac:dyDescent="0.25">
      <c r="A783" t="s">
        <v>768</v>
      </c>
      <c r="B783" t="s">
        <v>7</v>
      </c>
      <c r="C783" t="s">
        <v>67</v>
      </c>
      <c r="D783">
        <v>51860</v>
      </c>
      <c r="E783" t="s">
        <v>21</v>
      </c>
      <c r="F783" t="s">
        <v>14</v>
      </c>
    </row>
    <row r="784" spans="1:6" x14ac:dyDescent="0.25">
      <c r="A784" t="s">
        <v>271</v>
      </c>
      <c r="B784" t="s">
        <v>7</v>
      </c>
      <c r="C784" t="s">
        <v>27</v>
      </c>
      <c r="D784">
        <v>52670</v>
      </c>
      <c r="E784" t="s">
        <v>17</v>
      </c>
      <c r="F784" t="s">
        <v>28</v>
      </c>
    </row>
    <row r="785" spans="1:6" x14ac:dyDescent="0.25">
      <c r="A785" t="s">
        <v>769</v>
      </c>
      <c r="B785" t="s">
        <v>12</v>
      </c>
      <c r="C785" t="s">
        <v>20</v>
      </c>
      <c r="D785">
        <v>61210</v>
      </c>
      <c r="E785" t="s">
        <v>21</v>
      </c>
      <c r="F785" t="s">
        <v>18</v>
      </c>
    </row>
    <row r="786" spans="1:6" x14ac:dyDescent="0.25">
      <c r="A786" t="s">
        <v>770</v>
      </c>
      <c r="B786" t="s">
        <v>12</v>
      </c>
      <c r="C786" t="s">
        <v>34</v>
      </c>
      <c r="D786">
        <v>68980</v>
      </c>
      <c r="E786" t="s">
        <v>21</v>
      </c>
      <c r="F786" t="s">
        <v>28</v>
      </c>
    </row>
    <row r="787" spans="1:6" x14ac:dyDescent="0.25">
      <c r="A787" t="s">
        <v>771</v>
      </c>
      <c r="B787" t="s">
        <v>12</v>
      </c>
      <c r="C787" t="s">
        <v>53</v>
      </c>
      <c r="D787">
        <v>29610</v>
      </c>
      <c r="E787" t="s">
        <v>17</v>
      </c>
      <c r="F787" t="s">
        <v>28</v>
      </c>
    </row>
    <row r="788" spans="1:6" x14ac:dyDescent="0.25">
      <c r="A788" t="s">
        <v>772</v>
      </c>
      <c r="B788" t="s">
        <v>12</v>
      </c>
      <c r="C788" t="s">
        <v>13</v>
      </c>
      <c r="D788">
        <v>114430</v>
      </c>
      <c r="E788" t="s">
        <v>9</v>
      </c>
      <c r="F788" t="s">
        <v>14</v>
      </c>
    </row>
    <row r="789" spans="1:6" x14ac:dyDescent="0.25">
      <c r="A789" t="s">
        <v>773</v>
      </c>
      <c r="B789" t="s">
        <v>7</v>
      </c>
      <c r="C789" t="s">
        <v>37</v>
      </c>
      <c r="D789">
        <v>53760</v>
      </c>
      <c r="E789" t="s">
        <v>17</v>
      </c>
      <c r="F789" t="s">
        <v>28</v>
      </c>
    </row>
    <row r="790" spans="1:6" x14ac:dyDescent="0.25">
      <c r="A790" t="s">
        <v>774</v>
      </c>
      <c r="B790" t="s">
        <v>7</v>
      </c>
      <c r="C790" t="s">
        <v>8</v>
      </c>
      <c r="D790">
        <v>91310</v>
      </c>
      <c r="E790" t="s">
        <v>17</v>
      </c>
      <c r="F790" t="s">
        <v>28</v>
      </c>
    </row>
    <row r="791" spans="1:6" x14ac:dyDescent="0.25">
      <c r="A791" t="s">
        <v>775</v>
      </c>
      <c r="B791" t="s">
        <v>7</v>
      </c>
      <c r="C791" t="s">
        <v>31</v>
      </c>
      <c r="D791">
        <v>117840</v>
      </c>
      <c r="E791" t="s">
        <v>21</v>
      </c>
      <c r="F791" t="s">
        <v>28</v>
      </c>
    </row>
    <row r="792" spans="1:6" x14ac:dyDescent="0.25">
      <c r="A792" t="s">
        <v>776</v>
      </c>
      <c r="B792" t="s">
        <v>12</v>
      </c>
      <c r="C792" t="s">
        <v>37</v>
      </c>
      <c r="D792">
        <v>31830</v>
      </c>
      <c r="E792" t="s">
        <v>9</v>
      </c>
      <c r="F792" t="s">
        <v>28</v>
      </c>
    </row>
    <row r="793" spans="1:6" x14ac:dyDescent="0.25">
      <c r="A793" t="s">
        <v>777</v>
      </c>
      <c r="B793" t="s">
        <v>7</v>
      </c>
      <c r="C793" t="s">
        <v>20</v>
      </c>
      <c r="D793">
        <v>32980</v>
      </c>
      <c r="E793" t="s">
        <v>9</v>
      </c>
      <c r="F793" t="s">
        <v>18</v>
      </c>
    </row>
    <row r="794" spans="1:6" x14ac:dyDescent="0.25">
      <c r="A794" t="s">
        <v>778</v>
      </c>
      <c r="B794" t="s">
        <v>7</v>
      </c>
      <c r="C794" t="s">
        <v>13</v>
      </c>
      <c r="D794">
        <v>47360</v>
      </c>
      <c r="E794" t="s">
        <v>17</v>
      </c>
      <c r="F794" t="s">
        <v>24</v>
      </c>
    </row>
    <row r="795" spans="1:6" x14ac:dyDescent="0.25">
      <c r="A795" t="s">
        <v>779</v>
      </c>
      <c r="B795" t="s">
        <v>12</v>
      </c>
      <c r="C795" t="s">
        <v>13</v>
      </c>
      <c r="D795">
        <v>86740</v>
      </c>
      <c r="E795" t="s">
        <v>9</v>
      </c>
      <c r="F795" t="s">
        <v>10</v>
      </c>
    </row>
    <row r="796" spans="1:6" x14ac:dyDescent="0.25">
      <c r="A796" t="s">
        <v>780</v>
      </c>
      <c r="B796" t="s">
        <v>12</v>
      </c>
      <c r="C796" t="s">
        <v>23</v>
      </c>
      <c r="D796">
        <v>87400</v>
      </c>
      <c r="E796" t="s">
        <v>21</v>
      </c>
      <c r="F796" t="s">
        <v>28</v>
      </c>
    </row>
    <row r="797" spans="1:6" x14ac:dyDescent="0.25">
      <c r="A797" t="s">
        <v>747</v>
      </c>
      <c r="B797" t="s">
        <v>7</v>
      </c>
      <c r="C797" t="s">
        <v>13</v>
      </c>
      <c r="D797">
        <v>61620</v>
      </c>
      <c r="E797" t="s">
        <v>9</v>
      </c>
      <c r="F797" t="s">
        <v>24</v>
      </c>
    </row>
    <row r="798" spans="1:6" x14ac:dyDescent="0.25">
      <c r="A798" t="s">
        <v>781</v>
      </c>
      <c r="B798" t="s">
        <v>12</v>
      </c>
      <c r="C798" t="s">
        <v>34</v>
      </c>
      <c r="D798">
        <v>75090</v>
      </c>
      <c r="E798" t="s">
        <v>9</v>
      </c>
      <c r="F798" t="s">
        <v>28</v>
      </c>
    </row>
    <row r="799" spans="1:6" x14ac:dyDescent="0.25">
      <c r="A799" t="s">
        <v>782</v>
      </c>
      <c r="B799" t="s">
        <v>7</v>
      </c>
      <c r="C799" t="s">
        <v>53</v>
      </c>
      <c r="D799">
        <v>78020</v>
      </c>
      <c r="E799" t="s">
        <v>21</v>
      </c>
      <c r="F799" t="s">
        <v>28</v>
      </c>
    </row>
    <row r="800" spans="1:6" x14ac:dyDescent="0.25">
      <c r="A800" t="s">
        <v>116</v>
      </c>
      <c r="B800" t="s">
        <v>7</v>
      </c>
      <c r="C800" t="s">
        <v>31</v>
      </c>
      <c r="D800">
        <v>88690</v>
      </c>
      <c r="E800" t="s">
        <v>17</v>
      </c>
      <c r="F800" t="s">
        <v>10</v>
      </c>
    </row>
    <row r="801" spans="1:6" x14ac:dyDescent="0.25">
      <c r="A801" t="s">
        <v>783</v>
      </c>
      <c r="B801" t="s">
        <v>12</v>
      </c>
      <c r="C801" t="s">
        <v>50</v>
      </c>
      <c r="D801">
        <v>92340</v>
      </c>
      <c r="E801" t="s">
        <v>21</v>
      </c>
      <c r="F801" t="s">
        <v>14</v>
      </c>
    </row>
    <row r="802" spans="1:6" x14ac:dyDescent="0.25">
      <c r="A802" t="s">
        <v>784</v>
      </c>
      <c r="B802" t="s">
        <v>7</v>
      </c>
      <c r="C802" t="s">
        <v>16</v>
      </c>
      <c r="D802">
        <v>99480</v>
      </c>
      <c r="E802" t="s">
        <v>17</v>
      </c>
      <c r="F802" t="s">
        <v>24</v>
      </c>
    </row>
    <row r="803" spans="1:6" x14ac:dyDescent="0.25">
      <c r="A803" t="s">
        <v>484</v>
      </c>
      <c r="B803" t="s">
        <v>12</v>
      </c>
      <c r="C803" t="s">
        <v>34</v>
      </c>
      <c r="D803">
        <v>80700</v>
      </c>
      <c r="E803" t="s">
        <v>17</v>
      </c>
      <c r="F803" t="s">
        <v>24</v>
      </c>
    </row>
    <row r="804" spans="1:6" x14ac:dyDescent="0.25">
      <c r="A804" t="s">
        <v>785</v>
      </c>
      <c r="B804" t="s">
        <v>12</v>
      </c>
      <c r="C804" t="s">
        <v>34</v>
      </c>
      <c r="D804">
        <v>58830</v>
      </c>
      <c r="E804" t="s">
        <v>17</v>
      </c>
      <c r="F804" t="s">
        <v>24</v>
      </c>
    </row>
    <row r="805" spans="1:6" x14ac:dyDescent="0.25">
      <c r="A805" t="s">
        <v>786</v>
      </c>
      <c r="B805" t="s">
        <v>12</v>
      </c>
      <c r="C805" t="s">
        <v>50</v>
      </c>
      <c r="D805">
        <v>32140</v>
      </c>
      <c r="E805" t="s">
        <v>21</v>
      </c>
      <c r="F805" t="s">
        <v>14</v>
      </c>
    </row>
    <row r="806" spans="1:6" x14ac:dyDescent="0.25">
      <c r="A806" t="s">
        <v>787</v>
      </c>
      <c r="B806" t="s">
        <v>7</v>
      </c>
      <c r="C806" t="s">
        <v>53</v>
      </c>
      <c r="D806">
        <v>102520</v>
      </c>
      <c r="E806" t="s">
        <v>17</v>
      </c>
      <c r="F806" t="s">
        <v>24</v>
      </c>
    </row>
    <row r="807" spans="1:6" x14ac:dyDescent="0.25">
      <c r="A807" t="s">
        <v>788</v>
      </c>
      <c r="B807" t="s">
        <v>7</v>
      </c>
      <c r="C807" t="s">
        <v>27</v>
      </c>
      <c r="D807">
        <v>79590</v>
      </c>
      <c r="E807" t="s">
        <v>17</v>
      </c>
      <c r="F807" t="s">
        <v>51</v>
      </c>
    </row>
    <row r="808" spans="1:6" x14ac:dyDescent="0.25">
      <c r="A808" t="s">
        <v>789</v>
      </c>
      <c r="B808" t="s">
        <v>12</v>
      </c>
      <c r="C808" t="s">
        <v>23</v>
      </c>
      <c r="D808">
        <v>28970</v>
      </c>
      <c r="E808" t="s">
        <v>9</v>
      </c>
      <c r="F808" t="s">
        <v>10</v>
      </c>
    </row>
    <row r="809" spans="1:6" x14ac:dyDescent="0.25">
      <c r="A809" t="s">
        <v>790</v>
      </c>
      <c r="B809" t="s">
        <v>12</v>
      </c>
      <c r="C809" t="s">
        <v>67</v>
      </c>
      <c r="E809" t="s">
        <v>9</v>
      </c>
      <c r="F809" t="s">
        <v>18</v>
      </c>
    </row>
    <row r="810" spans="1:6" x14ac:dyDescent="0.25">
      <c r="A810" t="s">
        <v>791</v>
      </c>
      <c r="B810" t="s">
        <v>12</v>
      </c>
      <c r="C810" t="s">
        <v>27</v>
      </c>
      <c r="D810">
        <v>92700</v>
      </c>
      <c r="E810" t="s">
        <v>21</v>
      </c>
      <c r="F810" t="s">
        <v>28</v>
      </c>
    </row>
    <row r="811" spans="1:6" x14ac:dyDescent="0.25">
      <c r="A811" t="s">
        <v>792</v>
      </c>
      <c r="B811" t="s">
        <v>12</v>
      </c>
      <c r="C811" t="s">
        <v>53</v>
      </c>
      <c r="D811">
        <v>36150</v>
      </c>
      <c r="E811" t="s">
        <v>21</v>
      </c>
      <c r="F811" t="s">
        <v>24</v>
      </c>
    </row>
    <row r="812" spans="1:6" x14ac:dyDescent="0.25">
      <c r="A812" t="s">
        <v>769</v>
      </c>
      <c r="B812" t="s">
        <v>12</v>
      </c>
      <c r="C812" t="s">
        <v>20</v>
      </c>
      <c r="D812">
        <v>61210</v>
      </c>
      <c r="E812" t="s">
        <v>17</v>
      </c>
      <c r="F812" t="s">
        <v>28</v>
      </c>
    </row>
    <row r="813" spans="1:6" x14ac:dyDescent="0.25">
      <c r="A813" t="s">
        <v>793</v>
      </c>
      <c r="B813" t="s">
        <v>7</v>
      </c>
      <c r="C813" t="s">
        <v>53</v>
      </c>
      <c r="D813">
        <v>52960</v>
      </c>
      <c r="E813" t="s">
        <v>9</v>
      </c>
      <c r="F813" t="s">
        <v>28</v>
      </c>
    </row>
    <row r="814" spans="1:6" x14ac:dyDescent="0.25">
      <c r="A814" t="s">
        <v>337</v>
      </c>
      <c r="B814" t="s">
        <v>7</v>
      </c>
      <c r="C814" t="s">
        <v>42</v>
      </c>
      <c r="D814">
        <v>84170</v>
      </c>
      <c r="E814" t="s">
        <v>9</v>
      </c>
      <c r="F814" t="s">
        <v>18</v>
      </c>
    </row>
    <row r="815" spans="1:6" x14ac:dyDescent="0.25">
      <c r="A815" t="s">
        <v>794</v>
      </c>
      <c r="B815" t="s">
        <v>12</v>
      </c>
      <c r="C815" t="s">
        <v>37</v>
      </c>
      <c r="D815">
        <v>31920</v>
      </c>
      <c r="E815" t="s">
        <v>21</v>
      </c>
      <c r="F815" t="s">
        <v>28</v>
      </c>
    </row>
    <row r="816" spans="1:6" x14ac:dyDescent="0.25">
      <c r="A816" t="s">
        <v>795</v>
      </c>
      <c r="B816" t="s">
        <v>12</v>
      </c>
      <c r="C816" t="s">
        <v>37</v>
      </c>
      <c r="D816">
        <v>104210</v>
      </c>
      <c r="E816" t="s">
        <v>17</v>
      </c>
      <c r="F816" t="s">
        <v>10</v>
      </c>
    </row>
    <row r="817" spans="1:6" x14ac:dyDescent="0.25">
      <c r="A817" t="s">
        <v>796</v>
      </c>
      <c r="B817" t="s">
        <v>7</v>
      </c>
      <c r="C817" t="s">
        <v>37</v>
      </c>
      <c r="E817" t="s">
        <v>21</v>
      </c>
      <c r="F817" t="s">
        <v>14</v>
      </c>
    </row>
    <row r="818" spans="1:6" x14ac:dyDescent="0.25">
      <c r="A818" t="s">
        <v>359</v>
      </c>
      <c r="B818" t="s">
        <v>12</v>
      </c>
      <c r="C818" t="s">
        <v>37</v>
      </c>
      <c r="D818">
        <v>38440</v>
      </c>
      <c r="E818" t="s">
        <v>17</v>
      </c>
      <c r="F818" t="s">
        <v>24</v>
      </c>
    </row>
    <row r="819" spans="1:6" x14ac:dyDescent="0.25">
      <c r="A819" t="s">
        <v>772</v>
      </c>
      <c r="B819" t="s">
        <v>12</v>
      </c>
      <c r="C819" t="s">
        <v>13</v>
      </c>
      <c r="D819">
        <v>114430</v>
      </c>
      <c r="E819" t="s">
        <v>21</v>
      </c>
      <c r="F819" t="s">
        <v>10</v>
      </c>
    </row>
    <row r="820" spans="1:6" x14ac:dyDescent="0.25">
      <c r="A820" t="s">
        <v>358</v>
      </c>
      <c r="B820" t="s">
        <v>7</v>
      </c>
      <c r="C820" t="s">
        <v>37</v>
      </c>
      <c r="D820">
        <v>104340</v>
      </c>
      <c r="E820" t="s">
        <v>21</v>
      </c>
      <c r="F820" t="s">
        <v>24</v>
      </c>
    </row>
    <row r="821" spans="1:6" x14ac:dyDescent="0.25">
      <c r="A821" t="s">
        <v>797</v>
      </c>
      <c r="B821" t="s">
        <v>7</v>
      </c>
      <c r="C821" t="s">
        <v>67</v>
      </c>
      <c r="D821">
        <v>40750</v>
      </c>
      <c r="E821" t="s">
        <v>9</v>
      </c>
      <c r="F821" t="s">
        <v>51</v>
      </c>
    </row>
    <row r="822" spans="1:6" x14ac:dyDescent="0.25">
      <c r="A822" t="s">
        <v>798</v>
      </c>
      <c r="B822" t="s">
        <v>12</v>
      </c>
      <c r="C822" t="s">
        <v>42</v>
      </c>
      <c r="D822">
        <v>98020</v>
      </c>
      <c r="E822" t="s">
        <v>17</v>
      </c>
      <c r="F822" t="s">
        <v>10</v>
      </c>
    </row>
    <row r="823" spans="1:6" x14ac:dyDescent="0.25">
      <c r="A823" t="s">
        <v>799</v>
      </c>
      <c r="B823" t="s">
        <v>12</v>
      </c>
      <c r="C823" t="s">
        <v>8</v>
      </c>
      <c r="D823">
        <v>96620</v>
      </c>
      <c r="E823" t="s">
        <v>9</v>
      </c>
      <c r="F823" t="s">
        <v>24</v>
      </c>
    </row>
    <row r="824" spans="1:6" x14ac:dyDescent="0.25">
      <c r="A824" t="s">
        <v>800</v>
      </c>
      <c r="B824" t="s">
        <v>7</v>
      </c>
      <c r="C824" t="s">
        <v>50</v>
      </c>
      <c r="D824">
        <v>40400</v>
      </c>
      <c r="E824" t="s">
        <v>17</v>
      </c>
      <c r="F824" t="s">
        <v>10</v>
      </c>
    </row>
    <row r="825" spans="1:6" x14ac:dyDescent="0.25">
      <c r="A825" t="s">
        <v>801</v>
      </c>
      <c r="B825" t="s">
        <v>7</v>
      </c>
      <c r="C825" t="s">
        <v>37</v>
      </c>
      <c r="D825">
        <v>81220</v>
      </c>
      <c r="E825" t="s">
        <v>9</v>
      </c>
      <c r="F825" t="s">
        <v>24</v>
      </c>
    </row>
    <row r="826" spans="1:6" x14ac:dyDescent="0.25">
      <c r="A826" t="s">
        <v>802</v>
      </c>
      <c r="B826" t="s">
        <v>7</v>
      </c>
      <c r="C826" t="s">
        <v>42</v>
      </c>
      <c r="D826">
        <v>33840</v>
      </c>
      <c r="E826" t="s">
        <v>9</v>
      </c>
      <c r="F826" t="s">
        <v>18</v>
      </c>
    </row>
    <row r="827" spans="1:6" x14ac:dyDescent="0.25">
      <c r="A827" t="s">
        <v>803</v>
      </c>
      <c r="B827" t="s">
        <v>7</v>
      </c>
      <c r="C827" t="s">
        <v>50</v>
      </c>
      <c r="D827">
        <v>75880</v>
      </c>
      <c r="E827" t="s">
        <v>9</v>
      </c>
      <c r="F827" t="s">
        <v>28</v>
      </c>
    </row>
    <row r="828" spans="1:6" x14ac:dyDescent="0.25">
      <c r="A828" t="s">
        <v>804</v>
      </c>
      <c r="B828" t="s">
        <v>7</v>
      </c>
      <c r="C828" t="s">
        <v>13</v>
      </c>
      <c r="D828">
        <v>81380</v>
      </c>
      <c r="E828" t="s">
        <v>9</v>
      </c>
      <c r="F828" t="s">
        <v>18</v>
      </c>
    </row>
    <row r="829" spans="1:6" x14ac:dyDescent="0.25">
      <c r="A829" t="s">
        <v>805</v>
      </c>
      <c r="B829" t="s">
        <v>7</v>
      </c>
      <c r="C829" t="s">
        <v>50</v>
      </c>
      <c r="D829">
        <v>71490</v>
      </c>
      <c r="E829" t="s">
        <v>17</v>
      </c>
      <c r="F829" t="s">
        <v>18</v>
      </c>
    </row>
    <row r="830" spans="1:6" x14ac:dyDescent="0.25">
      <c r="A830" t="s">
        <v>806</v>
      </c>
      <c r="B830" t="s">
        <v>12</v>
      </c>
      <c r="C830" t="s">
        <v>37</v>
      </c>
      <c r="D830">
        <v>91930</v>
      </c>
      <c r="E830" t="s">
        <v>21</v>
      </c>
      <c r="F830" t="s">
        <v>28</v>
      </c>
    </row>
    <row r="831" spans="1:6" x14ac:dyDescent="0.25">
      <c r="A831" t="s">
        <v>807</v>
      </c>
      <c r="B831" t="s">
        <v>12</v>
      </c>
      <c r="C831" t="s">
        <v>13</v>
      </c>
      <c r="D831">
        <v>107790</v>
      </c>
      <c r="E831" t="s">
        <v>21</v>
      </c>
      <c r="F831" t="s">
        <v>28</v>
      </c>
    </row>
    <row r="832" spans="1:6" x14ac:dyDescent="0.25">
      <c r="A832" t="s">
        <v>808</v>
      </c>
      <c r="B832" t="s">
        <v>7</v>
      </c>
      <c r="C832" t="s">
        <v>31</v>
      </c>
      <c r="E832" t="s">
        <v>21</v>
      </c>
      <c r="F832" t="s">
        <v>10</v>
      </c>
    </row>
    <row r="833" spans="1:6" x14ac:dyDescent="0.25">
      <c r="A833" t="s">
        <v>809</v>
      </c>
      <c r="B833" t="s">
        <v>12</v>
      </c>
      <c r="C833" t="s">
        <v>37</v>
      </c>
      <c r="D833">
        <v>69970</v>
      </c>
      <c r="E833" t="s">
        <v>17</v>
      </c>
      <c r="F833" t="s">
        <v>28</v>
      </c>
    </row>
    <row r="834" spans="1:6" x14ac:dyDescent="0.25">
      <c r="A834" t="s">
        <v>191</v>
      </c>
      <c r="B834" t="s">
        <v>12</v>
      </c>
      <c r="C834" t="s">
        <v>13</v>
      </c>
      <c r="D834">
        <v>44300</v>
      </c>
      <c r="E834" t="s">
        <v>9</v>
      </c>
      <c r="F834" t="s">
        <v>24</v>
      </c>
    </row>
    <row r="835" spans="1:6" x14ac:dyDescent="0.25">
      <c r="A835" t="s">
        <v>810</v>
      </c>
      <c r="B835" t="s">
        <v>12</v>
      </c>
      <c r="C835" t="s">
        <v>53</v>
      </c>
      <c r="D835">
        <v>114180</v>
      </c>
      <c r="E835" t="s">
        <v>9</v>
      </c>
      <c r="F835" t="s">
        <v>10</v>
      </c>
    </row>
    <row r="836" spans="1:6" x14ac:dyDescent="0.25">
      <c r="A836" t="s">
        <v>811</v>
      </c>
      <c r="B836" t="s">
        <v>7</v>
      </c>
      <c r="C836" t="s">
        <v>27</v>
      </c>
      <c r="D836">
        <v>85330</v>
      </c>
      <c r="E836" t="s">
        <v>17</v>
      </c>
      <c r="F836" t="s">
        <v>28</v>
      </c>
    </row>
    <row r="837" spans="1:6" x14ac:dyDescent="0.25">
      <c r="A837" t="s">
        <v>812</v>
      </c>
      <c r="B837" t="s">
        <v>12</v>
      </c>
      <c r="C837" t="s">
        <v>16</v>
      </c>
      <c r="D837">
        <v>65130</v>
      </c>
      <c r="E837" t="s">
        <v>17</v>
      </c>
      <c r="F837" t="s">
        <v>28</v>
      </c>
    </row>
    <row r="838" spans="1:6" x14ac:dyDescent="0.25">
      <c r="A838" t="s">
        <v>813</v>
      </c>
      <c r="B838" t="s">
        <v>12</v>
      </c>
      <c r="C838" t="s">
        <v>8</v>
      </c>
      <c r="D838">
        <v>36820</v>
      </c>
      <c r="E838" t="s">
        <v>17</v>
      </c>
      <c r="F838" t="s">
        <v>14</v>
      </c>
    </row>
    <row r="839" spans="1:6" x14ac:dyDescent="0.25">
      <c r="A839" t="s">
        <v>814</v>
      </c>
      <c r="B839" t="s">
        <v>7</v>
      </c>
      <c r="C839" t="s">
        <v>67</v>
      </c>
      <c r="D839">
        <v>116890</v>
      </c>
      <c r="E839" t="s">
        <v>21</v>
      </c>
      <c r="F839" t="s">
        <v>28</v>
      </c>
    </row>
    <row r="840" spans="1:6" x14ac:dyDescent="0.25">
      <c r="A840" t="s">
        <v>815</v>
      </c>
      <c r="B840" t="s">
        <v>7</v>
      </c>
      <c r="C840" t="s">
        <v>50</v>
      </c>
      <c r="D840">
        <v>78710</v>
      </c>
      <c r="E840" t="s">
        <v>21</v>
      </c>
      <c r="F840" t="s">
        <v>24</v>
      </c>
    </row>
    <row r="841" spans="1:6" x14ac:dyDescent="0.25">
      <c r="A841" t="s">
        <v>816</v>
      </c>
      <c r="B841" t="s">
        <v>12</v>
      </c>
      <c r="C841" t="s">
        <v>53</v>
      </c>
      <c r="D841">
        <v>86470</v>
      </c>
      <c r="E841" t="s">
        <v>21</v>
      </c>
      <c r="F841" t="s">
        <v>28</v>
      </c>
    </row>
    <row r="842" spans="1:6" x14ac:dyDescent="0.25">
      <c r="A842" t="s">
        <v>537</v>
      </c>
      <c r="B842" t="s">
        <v>12</v>
      </c>
      <c r="C842" t="s">
        <v>50</v>
      </c>
      <c r="D842">
        <v>35980</v>
      </c>
      <c r="E842" t="s">
        <v>9</v>
      </c>
      <c r="F842" t="s">
        <v>14</v>
      </c>
    </row>
    <row r="843" spans="1:6" x14ac:dyDescent="0.25">
      <c r="A843" t="s">
        <v>817</v>
      </c>
      <c r="B843" t="s">
        <v>12</v>
      </c>
      <c r="C843" t="s">
        <v>23</v>
      </c>
      <c r="D843">
        <v>77110</v>
      </c>
      <c r="E843" t="s">
        <v>17</v>
      </c>
      <c r="F843" t="s">
        <v>28</v>
      </c>
    </row>
    <row r="844" spans="1:6" x14ac:dyDescent="0.25">
      <c r="A844" t="s">
        <v>818</v>
      </c>
      <c r="B844" t="s">
        <v>12</v>
      </c>
      <c r="C844" t="s">
        <v>37</v>
      </c>
      <c r="D844">
        <v>86570</v>
      </c>
      <c r="E844" t="s">
        <v>21</v>
      </c>
      <c r="F844" t="s">
        <v>51</v>
      </c>
    </row>
    <row r="845" spans="1:6" x14ac:dyDescent="0.25">
      <c r="A845" t="s">
        <v>819</v>
      </c>
      <c r="B845" t="s">
        <v>7</v>
      </c>
      <c r="C845" t="s">
        <v>34</v>
      </c>
      <c r="D845">
        <v>117850</v>
      </c>
      <c r="E845" t="s">
        <v>21</v>
      </c>
      <c r="F845" t="s">
        <v>14</v>
      </c>
    </row>
    <row r="846" spans="1:6" x14ac:dyDescent="0.25">
      <c r="A846" t="s">
        <v>820</v>
      </c>
      <c r="B846" t="s">
        <v>12</v>
      </c>
      <c r="C846" t="s">
        <v>67</v>
      </c>
      <c r="D846">
        <v>116500</v>
      </c>
      <c r="E846" t="s">
        <v>9</v>
      </c>
      <c r="F846" t="s">
        <v>18</v>
      </c>
    </row>
    <row r="847" spans="1:6" x14ac:dyDescent="0.25">
      <c r="A847" t="s">
        <v>821</v>
      </c>
      <c r="B847" t="s">
        <v>12</v>
      </c>
      <c r="C847" t="s">
        <v>53</v>
      </c>
      <c r="D847">
        <v>80030</v>
      </c>
      <c r="E847" t="s">
        <v>21</v>
      </c>
      <c r="F847" t="s">
        <v>24</v>
      </c>
    </row>
    <row r="848" spans="1:6" x14ac:dyDescent="0.25">
      <c r="A848" t="s">
        <v>717</v>
      </c>
      <c r="B848" t="s">
        <v>12</v>
      </c>
      <c r="C848" t="s">
        <v>23</v>
      </c>
      <c r="D848">
        <v>58940</v>
      </c>
      <c r="E848" t="s">
        <v>21</v>
      </c>
      <c r="F848" t="s">
        <v>28</v>
      </c>
    </row>
    <row r="849" spans="1:6" x14ac:dyDescent="0.25">
      <c r="A849" t="s">
        <v>822</v>
      </c>
      <c r="B849" t="s">
        <v>7</v>
      </c>
      <c r="C849" t="s">
        <v>27</v>
      </c>
      <c r="D849">
        <v>76320</v>
      </c>
      <c r="E849" t="s">
        <v>9</v>
      </c>
      <c r="F849" t="s">
        <v>14</v>
      </c>
    </row>
    <row r="850" spans="1:6" x14ac:dyDescent="0.25">
      <c r="A850" t="s">
        <v>823</v>
      </c>
      <c r="B850" t="s">
        <v>7</v>
      </c>
      <c r="C850" t="s">
        <v>23</v>
      </c>
      <c r="D850">
        <v>110730</v>
      </c>
      <c r="E850" t="s">
        <v>17</v>
      </c>
      <c r="F850" t="s">
        <v>10</v>
      </c>
    </row>
    <row r="851" spans="1:6" x14ac:dyDescent="0.25">
      <c r="A851" t="s">
        <v>824</v>
      </c>
      <c r="B851" t="s">
        <v>12</v>
      </c>
      <c r="C851" t="s">
        <v>42</v>
      </c>
      <c r="D851">
        <v>86990</v>
      </c>
      <c r="E851" t="s">
        <v>17</v>
      </c>
      <c r="F851" t="s">
        <v>24</v>
      </c>
    </row>
    <row r="852" spans="1:6" x14ac:dyDescent="0.25">
      <c r="A852" t="s">
        <v>825</v>
      </c>
      <c r="B852" t="s">
        <v>12</v>
      </c>
      <c r="C852" t="s">
        <v>20</v>
      </c>
      <c r="E852" t="s">
        <v>9</v>
      </c>
      <c r="F852" t="s">
        <v>28</v>
      </c>
    </row>
    <row r="853" spans="1:6" x14ac:dyDescent="0.25">
      <c r="A853" t="s">
        <v>826</v>
      </c>
      <c r="B853" t="s">
        <v>7</v>
      </c>
      <c r="C853" t="s">
        <v>67</v>
      </c>
      <c r="D853">
        <v>74410</v>
      </c>
      <c r="E853" t="s">
        <v>17</v>
      </c>
      <c r="F853" t="s">
        <v>14</v>
      </c>
    </row>
    <row r="854" spans="1:6" x14ac:dyDescent="0.25">
      <c r="A854" t="s">
        <v>827</v>
      </c>
      <c r="B854" t="s">
        <v>7</v>
      </c>
      <c r="C854" t="s">
        <v>67</v>
      </c>
      <c r="D854">
        <v>87610</v>
      </c>
      <c r="E854" t="s">
        <v>9</v>
      </c>
      <c r="F854" t="s">
        <v>14</v>
      </c>
    </row>
    <row r="855" spans="1:6" x14ac:dyDescent="0.25">
      <c r="A855" t="s">
        <v>828</v>
      </c>
      <c r="B855" t="s">
        <v>12</v>
      </c>
      <c r="C855" t="s">
        <v>34</v>
      </c>
      <c r="D855">
        <v>103340</v>
      </c>
      <c r="E855" t="s">
        <v>17</v>
      </c>
      <c r="F855" t="s">
        <v>14</v>
      </c>
    </row>
    <row r="856" spans="1:6" x14ac:dyDescent="0.25">
      <c r="A856" t="s">
        <v>829</v>
      </c>
      <c r="B856" t="s">
        <v>12</v>
      </c>
      <c r="C856" t="s">
        <v>34</v>
      </c>
      <c r="D856">
        <v>46470</v>
      </c>
      <c r="E856" t="s">
        <v>21</v>
      </c>
      <c r="F856" t="s">
        <v>28</v>
      </c>
    </row>
    <row r="857" spans="1:6" x14ac:dyDescent="0.25">
      <c r="A857" t="s">
        <v>830</v>
      </c>
      <c r="B857" t="s">
        <v>7</v>
      </c>
      <c r="C857" t="s">
        <v>20</v>
      </c>
      <c r="D857">
        <v>108290</v>
      </c>
      <c r="E857" t="s">
        <v>17</v>
      </c>
      <c r="F857" t="s">
        <v>51</v>
      </c>
    </row>
    <row r="858" spans="1:6" x14ac:dyDescent="0.25">
      <c r="A858" t="s">
        <v>831</v>
      </c>
      <c r="B858" t="s">
        <v>7</v>
      </c>
      <c r="C858" t="s">
        <v>13</v>
      </c>
      <c r="D858">
        <v>78640</v>
      </c>
      <c r="E858" t="s">
        <v>9</v>
      </c>
      <c r="F858" t="s">
        <v>14</v>
      </c>
    </row>
    <row r="859" spans="1:6" x14ac:dyDescent="0.25">
      <c r="A859" t="s">
        <v>832</v>
      </c>
      <c r="C859" t="s">
        <v>8</v>
      </c>
      <c r="D859">
        <v>75990</v>
      </c>
      <c r="E859" t="s">
        <v>21</v>
      </c>
      <c r="F859" t="s">
        <v>28</v>
      </c>
    </row>
    <row r="860" spans="1:6" x14ac:dyDescent="0.25">
      <c r="A860" t="s">
        <v>833</v>
      </c>
      <c r="B860" t="s">
        <v>7</v>
      </c>
      <c r="C860" t="s">
        <v>8</v>
      </c>
      <c r="D860">
        <v>55280</v>
      </c>
      <c r="E860" t="s">
        <v>21</v>
      </c>
      <c r="F860" t="s">
        <v>28</v>
      </c>
    </row>
    <row r="861" spans="1:6" x14ac:dyDescent="0.25">
      <c r="A861" t="s">
        <v>834</v>
      </c>
      <c r="C861" t="s">
        <v>53</v>
      </c>
      <c r="D861">
        <v>98010</v>
      </c>
      <c r="E861" t="s">
        <v>9</v>
      </c>
      <c r="F861" t="s">
        <v>28</v>
      </c>
    </row>
    <row r="862" spans="1:6" x14ac:dyDescent="0.25">
      <c r="A862" t="s">
        <v>835</v>
      </c>
      <c r="B862" t="s">
        <v>7</v>
      </c>
      <c r="C862" t="s">
        <v>27</v>
      </c>
      <c r="D862">
        <v>50310</v>
      </c>
      <c r="E862" t="s">
        <v>21</v>
      </c>
      <c r="F862" t="s">
        <v>28</v>
      </c>
    </row>
    <row r="863" spans="1:6" x14ac:dyDescent="0.25">
      <c r="A863" t="s">
        <v>836</v>
      </c>
      <c r="B863" t="s">
        <v>7</v>
      </c>
      <c r="C863" t="s">
        <v>67</v>
      </c>
      <c r="D863">
        <v>91360</v>
      </c>
      <c r="E863" t="s">
        <v>21</v>
      </c>
      <c r="F863" t="s">
        <v>28</v>
      </c>
    </row>
    <row r="864" spans="1:6" x14ac:dyDescent="0.25">
      <c r="A864" t="s">
        <v>837</v>
      </c>
      <c r="B864" t="s">
        <v>7</v>
      </c>
      <c r="C864" t="s">
        <v>53</v>
      </c>
      <c r="D864">
        <v>115920</v>
      </c>
      <c r="E864" t="s">
        <v>17</v>
      </c>
      <c r="F864" t="s">
        <v>14</v>
      </c>
    </row>
    <row r="865" spans="1:6" x14ac:dyDescent="0.25">
      <c r="A865" t="s">
        <v>838</v>
      </c>
      <c r="B865" t="s">
        <v>12</v>
      </c>
      <c r="C865" t="s">
        <v>13</v>
      </c>
      <c r="D865">
        <v>56870</v>
      </c>
      <c r="E865" t="s">
        <v>9</v>
      </c>
      <c r="F865" t="s">
        <v>24</v>
      </c>
    </row>
    <row r="866" spans="1:6" x14ac:dyDescent="0.25">
      <c r="A866" t="s">
        <v>839</v>
      </c>
      <c r="B866" t="s">
        <v>12</v>
      </c>
      <c r="C866" t="s">
        <v>23</v>
      </c>
      <c r="D866">
        <v>75970</v>
      </c>
      <c r="E866" t="s">
        <v>17</v>
      </c>
      <c r="F866" t="s">
        <v>10</v>
      </c>
    </row>
    <row r="867" spans="1:6" x14ac:dyDescent="0.25">
      <c r="A867" t="s">
        <v>840</v>
      </c>
      <c r="B867" t="s">
        <v>7</v>
      </c>
      <c r="C867" t="s">
        <v>53</v>
      </c>
      <c r="D867">
        <v>52270</v>
      </c>
      <c r="E867" t="s">
        <v>21</v>
      </c>
      <c r="F867" t="s">
        <v>14</v>
      </c>
    </row>
    <row r="868" spans="1:6" x14ac:dyDescent="0.25">
      <c r="A868" t="s">
        <v>841</v>
      </c>
      <c r="B868" t="s">
        <v>7</v>
      </c>
      <c r="C868" t="s">
        <v>34</v>
      </c>
      <c r="D868">
        <v>39780</v>
      </c>
      <c r="E868" t="s">
        <v>9</v>
      </c>
      <c r="F868" t="s">
        <v>18</v>
      </c>
    </row>
    <row r="869" spans="1:6" x14ac:dyDescent="0.25">
      <c r="A869" t="s">
        <v>842</v>
      </c>
      <c r="B869" t="s">
        <v>7</v>
      </c>
      <c r="C869" t="s">
        <v>31</v>
      </c>
      <c r="D869">
        <v>58960</v>
      </c>
      <c r="E869" t="s">
        <v>9</v>
      </c>
      <c r="F869" t="s">
        <v>28</v>
      </c>
    </row>
    <row r="870" spans="1:6" x14ac:dyDescent="0.25">
      <c r="A870" t="s">
        <v>843</v>
      </c>
      <c r="B870" t="s">
        <v>12</v>
      </c>
      <c r="C870" t="s">
        <v>42</v>
      </c>
      <c r="D870">
        <v>37900</v>
      </c>
      <c r="E870" t="s">
        <v>17</v>
      </c>
      <c r="F870" t="s">
        <v>14</v>
      </c>
    </row>
    <row r="871" spans="1:6" x14ac:dyDescent="0.25">
      <c r="A871" t="s">
        <v>732</v>
      </c>
      <c r="B871" t="s">
        <v>7</v>
      </c>
      <c r="C871" t="s">
        <v>34</v>
      </c>
      <c r="D871">
        <v>89160</v>
      </c>
      <c r="E871" t="s">
        <v>9</v>
      </c>
      <c r="F871" t="s">
        <v>14</v>
      </c>
    </row>
    <row r="872" spans="1:6" x14ac:dyDescent="0.25">
      <c r="A872" t="s">
        <v>844</v>
      </c>
      <c r="B872" t="s">
        <v>12</v>
      </c>
      <c r="C872" t="s">
        <v>8</v>
      </c>
      <c r="D872">
        <v>45510</v>
      </c>
      <c r="E872" t="s">
        <v>17</v>
      </c>
      <c r="F872" t="s">
        <v>14</v>
      </c>
    </row>
    <row r="873" spans="1:6" x14ac:dyDescent="0.25">
      <c r="A873" t="s">
        <v>845</v>
      </c>
      <c r="B873" t="s">
        <v>12</v>
      </c>
      <c r="C873" t="s">
        <v>37</v>
      </c>
      <c r="D873">
        <v>66610</v>
      </c>
      <c r="E873" t="s">
        <v>17</v>
      </c>
      <c r="F873" t="s">
        <v>28</v>
      </c>
    </row>
    <row r="874" spans="1:6" x14ac:dyDescent="0.25">
      <c r="A874" t="s">
        <v>846</v>
      </c>
      <c r="B874" t="s">
        <v>7</v>
      </c>
      <c r="C874" t="s">
        <v>8</v>
      </c>
      <c r="D874">
        <v>44120</v>
      </c>
      <c r="E874" t="s">
        <v>9</v>
      </c>
      <c r="F874" t="s">
        <v>51</v>
      </c>
    </row>
    <row r="875" spans="1:6" x14ac:dyDescent="0.25">
      <c r="A875" t="s">
        <v>847</v>
      </c>
      <c r="B875" t="s">
        <v>12</v>
      </c>
      <c r="C875" t="s">
        <v>31</v>
      </c>
      <c r="D875">
        <v>32270</v>
      </c>
      <c r="E875" t="s">
        <v>17</v>
      </c>
      <c r="F875" t="s">
        <v>28</v>
      </c>
    </row>
    <row r="876" spans="1:6" x14ac:dyDescent="0.25">
      <c r="A876" t="s">
        <v>848</v>
      </c>
      <c r="B876" t="s">
        <v>12</v>
      </c>
      <c r="C876" t="s">
        <v>13</v>
      </c>
      <c r="D876">
        <v>37130</v>
      </c>
      <c r="E876" t="s">
        <v>9</v>
      </c>
      <c r="F876" t="s">
        <v>18</v>
      </c>
    </row>
    <row r="877" spans="1:6" x14ac:dyDescent="0.25">
      <c r="A877" t="s">
        <v>849</v>
      </c>
      <c r="B877" t="s">
        <v>12</v>
      </c>
      <c r="C877" t="s">
        <v>8</v>
      </c>
      <c r="D877">
        <v>45590</v>
      </c>
      <c r="E877" t="s">
        <v>17</v>
      </c>
      <c r="F877" t="s">
        <v>14</v>
      </c>
    </row>
    <row r="878" spans="1:6" x14ac:dyDescent="0.25">
      <c r="A878" t="s">
        <v>850</v>
      </c>
      <c r="B878" t="s">
        <v>7</v>
      </c>
      <c r="C878" t="s">
        <v>53</v>
      </c>
      <c r="D878">
        <v>94070</v>
      </c>
      <c r="E878" t="s">
        <v>17</v>
      </c>
      <c r="F878" t="s">
        <v>28</v>
      </c>
    </row>
    <row r="879" spans="1:6" x14ac:dyDescent="0.25">
      <c r="A879" t="s">
        <v>575</v>
      </c>
      <c r="B879" t="s">
        <v>12</v>
      </c>
      <c r="C879" t="s">
        <v>31</v>
      </c>
      <c r="D879">
        <v>89690</v>
      </c>
      <c r="E879" t="s">
        <v>21</v>
      </c>
      <c r="F879" t="s">
        <v>18</v>
      </c>
    </row>
    <row r="880" spans="1:6" x14ac:dyDescent="0.25">
      <c r="A880" t="s">
        <v>851</v>
      </c>
      <c r="B880" t="s">
        <v>12</v>
      </c>
      <c r="C880" t="s">
        <v>31</v>
      </c>
      <c r="D880">
        <v>41220</v>
      </c>
      <c r="E880" t="s">
        <v>9</v>
      </c>
      <c r="F880" t="s">
        <v>28</v>
      </c>
    </row>
    <row r="881" spans="1:6" x14ac:dyDescent="0.25">
      <c r="A881" t="s">
        <v>852</v>
      </c>
      <c r="B881" t="s">
        <v>12</v>
      </c>
      <c r="C881" t="s">
        <v>53</v>
      </c>
      <c r="D881">
        <v>119930</v>
      </c>
      <c r="E881" t="s">
        <v>9</v>
      </c>
      <c r="F881" t="s">
        <v>28</v>
      </c>
    </row>
    <row r="882" spans="1:6" x14ac:dyDescent="0.25">
      <c r="A882" t="s">
        <v>71</v>
      </c>
      <c r="B882" t="s">
        <v>12</v>
      </c>
      <c r="C882" t="s">
        <v>27</v>
      </c>
      <c r="D882">
        <v>60580</v>
      </c>
      <c r="E882" t="s">
        <v>21</v>
      </c>
      <c r="F882" t="s">
        <v>18</v>
      </c>
    </row>
    <row r="883" spans="1:6" x14ac:dyDescent="0.25">
      <c r="A883" t="s">
        <v>853</v>
      </c>
      <c r="B883" t="s">
        <v>12</v>
      </c>
      <c r="C883" t="s">
        <v>13</v>
      </c>
      <c r="D883">
        <v>94820</v>
      </c>
      <c r="E883" t="s">
        <v>17</v>
      </c>
      <c r="F883" t="s">
        <v>28</v>
      </c>
    </row>
    <row r="884" spans="1:6" x14ac:dyDescent="0.25">
      <c r="A884" t="s">
        <v>854</v>
      </c>
      <c r="B884" t="s">
        <v>7</v>
      </c>
      <c r="C884" t="s">
        <v>53</v>
      </c>
      <c r="D884">
        <v>38830</v>
      </c>
      <c r="E884" t="s">
        <v>21</v>
      </c>
      <c r="F884" t="s">
        <v>14</v>
      </c>
    </row>
    <row r="885" spans="1:6" x14ac:dyDescent="0.25">
      <c r="A885" t="s">
        <v>855</v>
      </c>
      <c r="B885" t="s">
        <v>7</v>
      </c>
      <c r="C885" t="s">
        <v>16</v>
      </c>
      <c r="D885">
        <v>91450</v>
      </c>
      <c r="E885" t="s">
        <v>17</v>
      </c>
      <c r="F885" t="s">
        <v>28</v>
      </c>
    </row>
    <row r="886" spans="1:6" x14ac:dyDescent="0.25">
      <c r="A886" t="s">
        <v>856</v>
      </c>
      <c r="B886" t="s">
        <v>12</v>
      </c>
      <c r="C886" t="s">
        <v>13</v>
      </c>
      <c r="D886">
        <v>28870</v>
      </c>
      <c r="E886" t="s">
        <v>17</v>
      </c>
      <c r="F886" t="s">
        <v>10</v>
      </c>
    </row>
    <row r="887" spans="1:6" x14ac:dyDescent="0.25">
      <c r="A887" t="s">
        <v>857</v>
      </c>
      <c r="B887" t="s">
        <v>12</v>
      </c>
      <c r="C887" t="s">
        <v>67</v>
      </c>
      <c r="D887">
        <v>70760</v>
      </c>
      <c r="E887" t="s">
        <v>9</v>
      </c>
      <c r="F887" t="s">
        <v>14</v>
      </c>
    </row>
    <row r="888" spans="1:6" x14ac:dyDescent="0.25">
      <c r="A888" t="s">
        <v>460</v>
      </c>
      <c r="B888" t="s">
        <v>7</v>
      </c>
      <c r="C888" t="s">
        <v>37</v>
      </c>
      <c r="D888">
        <v>106170</v>
      </c>
      <c r="E888" t="s">
        <v>17</v>
      </c>
      <c r="F888" t="s">
        <v>14</v>
      </c>
    </row>
    <row r="889" spans="1:6" x14ac:dyDescent="0.25">
      <c r="A889" t="s">
        <v>858</v>
      </c>
      <c r="B889" t="s">
        <v>7</v>
      </c>
      <c r="C889" t="s">
        <v>50</v>
      </c>
      <c r="D889">
        <v>71540</v>
      </c>
      <c r="E889" t="s">
        <v>21</v>
      </c>
      <c r="F889" t="s">
        <v>28</v>
      </c>
    </row>
    <row r="890" spans="1:6" x14ac:dyDescent="0.25">
      <c r="A890" t="s">
        <v>859</v>
      </c>
      <c r="B890" t="s">
        <v>12</v>
      </c>
      <c r="C890" t="s">
        <v>50</v>
      </c>
      <c r="D890">
        <v>104680</v>
      </c>
      <c r="E890" t="s">
        <v>9</v>
      </c>
      <c r="F890" t="s">
        <v>28</v>
      </c>
    </row>
    <row r="891" spans="1:6" x14ac:dyDescent="0.25">
      <c r="A891" t="s">
        <v>860</v>
      </c>
      <c r="B891" t="s">
        <v>7</v>
      </c>
      <c r="C891" t="s">
        <v>42</v>
      </c>
      <c r="D891">
        <v>63370</v>
      </c>
      <c r="E891" t="s">
        <v>9</v>
      </c>
      <c r="F891" t="s">
        <v>28</v>
      </c>
    </row>
    <row r="892" spans="1:6" x14ac:dyDescent="0.25">
      <c r="A892" t="s">
        <v>397</v>
      </c>
      <c r="B892" t="s">
        <v>7</v>
      </c>
      <c r="C892" t="s">
        <v>53</v>
      </c>
      <c r="D892">
        <v>106460</v>
      </c>
      <c r="E892" t="s">
        <v>9</v>
      </c>
      <c r="F892" t="s">
        <v>14</v>
      </c>
    </row>
    <row r="893" spans="1:6" x14ac:dyDescent="0.25">
      <c r="A893" t="s">
        <v>861</v>
      </c>
      <c r="B893" t="s">
        <v>7</v>
      </c>
      <c r="C893" t="s">
        <v>34</v>
      </c>
      <c r="D893">
        <v>106400</v>
      </c>
      <c r="E893" t="s">
        <v>9</v>
      </c>
      <c r="F893" t="s">
        <v>28</v>
      </c>
    </row>
    <row r="894" spans="1:6" x14ac:dyDescent="0.25">
      <c r="A894" t="s">
        <v>862</v>
      </c>
      <c r="B894" t="s">
        <v>12</v>
      </c>
      <c r="C894" t="s">
        <v>67</v>
      </c>
      <c r="D894">
        <v>36920</v>
      </c>
      <c r="E894" t="s">
        <v>21</v>
      </c>
      <c r="F894" t="s">
        <v>28</v>
      </c>
    </row>
    <row r="895" spans="1:6" x14ac:dyDescent="0.25">
      <c r="A895" t="s">
        <v>659</v>
      </c>
      <c r="B895" t="s">
        <v>12</v>
      </c>
      <c r="C895" t="s">
        <v>31</v>
      </c>
      <c r="D895">
        <v>42160</v>
      </c>
      <c r="E895" t="s">
        <v>17</v>
      </c>
      <c r="F895" t="s">
        <v>28</v>
      </c>
    </row>
    <row r="896" spans="1:6" x14ac:dyDescent="0.25">
      <c r="A896" t="s">
        <v>863</v>
      </c>
      <c r="B896" t="s">
        <v>12</v>
      </c>
      <c r="C896" t="s">
        <v>27</v>
      </c>
      <c r="D896">
        <v>57820</v>
      </c>
      <c r="E896" t="s">
        <v>21</v>
      </c>
      <c r="F896" t="s">
        <v>28</v>
      </c>
    </row>
    <row r="897" spans="1:6" x14ac:dyDescent="0.25">
      <c r="A897" t="s">
        <v>864</v>
      </c>
      <c r="B897" t="s">
        <v>12</v>
      </c>
      <c r="C897" t="s">
        <v>34</v>
      </c>
      <c r="D897">
        <v>93740</v>
      </c>
      <c r="E897" t="s">
        <v>21</v>
      </c>
      <c r="F897" t="s">
        <v>28</v>
      </c>
    </row>
    <row r="898" spans="1:6" x14ac:dyDescent="0.25">
      <c r="A898" t="s">
        <v>865</v>
      </c>
      <c r="B898" t="s">
        <v>12</v>
      </c>
      <c r="C898" t="s">
        <v>42</v>
      </c>
      <c r="D898">
        <v>93960</v>
      </c>
      <c r="E898" t="s">
        <v>21</v>
      </c>
      <c r="F898" t="s">
        <v>24</v>
      </c>
    </row>
    <row r="899" spans="1:6" x14ac:dyDescent="0.25">
      <c r="A899" t="s">
        <v>866</v>
      </c>
      <c r="B899" t="s">
        <v>7</v>
      </c>
      <c r="C899" t="s">
        <v>67</v>
      </c>
      <c r="D899">
        <v>107220</v>
      </c>
      <c r="E899" t="s">
        <v>9</v>
      </c>
      <c r="F899" t="s">
        <v>28</v>
      </c>
    </row>
    <row r="900" spans="1:6" x14ac:dyDescent="0.25">
      <c r="A900" t="s">
        <v>867</v>
      </c>
      <c r="B900" t="s">
        <v>12</v>
      </c>
      <c r="C900" t="s">
        <v>42</v>
      </c>
      <c r="D900">
        <v>90150</v>
      </c>
      <c r="E900" t="s">
        <v>17</v>
      </c>
      <c r="F900" t="s">
        <v>10</v>
      </c>
    </row>
    <row r="901" spans="1:6" x14ac:dyDescent="0.25">
      <c r="A901" t="s">
        <v>868</v>
      </c>
      <c r="B901" t="s">
        <v>7</v>
      </c>
      <c r="C901" t="s">
        <v>13</v>
      </c>
      <c r="D901">
        <v>94020</v>
      </c>
      <c r="E901" t="s">
        <v>17</v>
      </c>
      <c r="F901" t="s">
        <v>14</v>
      </c>
    </row>
    <row r="902" spans="1:6" x14ac:dyDescent="0.25">
      <c r="A902" t="s">
        <v>869</v>
      </c>
      <c r="B902" t="s">
        <v>12</v>
      </c>
      <c r="C902" t="s">
        <v>67</v>
      </c>
      <c r="D902">
        <v>42970</v>
      </c>
      <c r="E902" t="s">
        <v>9</v>
      </c>
      <c r="F902" t="s">
        <v>14</v>
      </c>
    </row>
    <row r="903" spans="1:6" x14ac:dyDescent="0.25">
      <c r="A903" t="s">
        <v>870</v>
      </c>
      <c r="B903" t="s">
        <v>7</v>
      </c>
      <c r="C903" t="s">
        <v>20</v>
      </c>
      <c r="D903">
        <v>33410</v>
      </c>
      <c r="E903" t="s">
        <v>21</v>
      </c>
      <c r="F903" t="s">
        <v>28</v>
      </c>
    </row>
    <row r="904" spans="1:6" x14ac:dyDescent="0.25">
      <c r="A904" t="s">
        <v>871</v>
      </c>
      <c r="B904" t="s">
        <v>7</v>
      </c>
      <c r="C904" t="s">
        <v>37</v>
      </c>
      <c r="D904">
        <v>119670</v>
      </c>
      <c r="E904" t="s">
        <v>9</v>
      </c>
      <c r="F904" t="s">
        <v>28</v>
      </c>
    </row>
    <row r="905" spans="1:6" x14ac:dyDescent="0.25">
      <c r="A905" t="s">
        <v>872</v>
      </c>
      <c r="B905" t="s">
        <v>7</v>
      </c>
      <c r="C905" t="s">
        <v>53</v>
      </c>
      <c r="D905">
        <v>115380</v>
      </c>
      <c r="E905" t="s">
        <v>21</v>
      </c>
      <c r="F905" t="s">
        <v>28</v>
      </c>
    </row>
    <row r="906" spans="1:6" x14ac:dyDescent="0.25">
      <c r="A906" t="s">
        <v>873</v>
      </c>
      <c r="B906" t="s">
        <v>7</v>
      </c>
      <c r="C906" t="s">
        <v>23</v>
      </c>
      <c r="D906">
        <v>75010</v>
      </c>
      <c r="E906" t="s">
        <v>21</v>
      </c>
      <c r="F906" t="s">
        <v>14</v>
      </c>
    </row>
    <row r="907" spans="1:6" x14ac:dyDescent="0.25">
      <c r="A907" t="s">
        <v>874</v>
      </c>
      <c r="B907" t="s">
        <v>12</v>
      </c>
      <c r="C907" t="s">
        <v>53</v>
      </c>
      <c r="D907">
        <v>104120</v>
      </c>
      <c r="E907" t="s">
        <v>17</v>
      </c>
      <c r="F907" t="s">
        <v>14</v>
      </c>
    </row>
    <row r="908" spans="1:6" x14ac:dyDescent="0.25">
      <c r="A908" t="s">
        <v>875</v>
      </c>
      <c r="B908" t="s">
        <v>7</v>
      </c>
      <c r="C908" t="s">
        <v>50</v>
      </c>
      <c r="D908">
        <v>82680</v>
      </c>
      <c r="E908" t="s">
        <v>9</v>
      </c>
      <c r="F908" t="s">
        <v>51</v>
      </c>
    </row>
    <row r="909" spans="1:6" x14ac:dyDescent="0.25">
      <c r="A909" t="s">
        <v>876</v>
      </c>
      <c r="B909" t="s">
        <v>7</v>
      </c>
      <c r="C909" t="s">
        <v>53</v>
      </c>
      <c r="D909">
        <v>52250</v>
      </c>
      <c r="E909" t="s">
        <v>21</v>
      </c>
      <c r="F909" t="s">
        <v>51</v>
      </c>
    </row>
    <row r="910" spans="1:6" x14ac:dyDescent="0.25">
      <c r="A910" t="s">
        <v>877</v>
      </c>
      <c r="B910" t="s">
        <v>7</v>
      </c>
      <c r="C910" t="s">
        <v>8</v>
      </c>
      <c r="D910">
        <v>83190</v>
      </c>
      <c r="E910" t="s">
        <v>9</v>
      </c>
      <c r="F910" t="s">
        <v>28</v>
      </c>
    </row>
    <row r="911" spans="1:6" x14ac:dyDescent="0.25">
      <c r="A911" t="s">
        <v>657</v>
      </c>
      <c r="B911" t="s">
        <v>7</v>
      </c>
      <c r="C911" t="s">
        <v>37</v>
      </c>
      <c r="D911">
        <v>69120</v>
      </c>
      <c r="E911" t="s">
        <v>21</v>
      </c>
      <c r="F911" t="s">
        <v>28</v>
      </c>
    </row>
    <row r="912" spans="1:6" x14ac:dyDescent="0.25">
      <c r="A912" t="s">
        <v>878</v>
      </c>
      <c r="B912" t="s">
        <v>12</v>
      </c>
      <c r="C912" t="s">
        <v>42</v>
      </c>
      <c r="E912" t="s">
        <v>21</v>
      </c>
      <c r="F912" t="s">
        <v>14</v>
      </c>
    </row>
    <row r="913" spans="1:6" x14ac:dyDescent="0.25">
      <c r="A913" t="s">
        <v>879</v>
      </c>
      <c r="C913" t="s">
        <v>16</v>
      </c>
      <c r="D913">
        <v>41570</v>
      </c>
      <c r="E913" t="s">
        <v>17</v>
      </c>
      <c r="F913" t="s">
        <v>28</v>
      </c>
    </row>
    <row r="914" spans="1:6" x14ac:dyDescent="0.25">
      <c r="A914" t="s">
        <v>880</v>
      </c>
      <c r="B914" t="s">
        <v>7</v>
      </c>
      <c r="C914" t="s">
        <v>53</v>
      </c>
      <c r="D914">
        <v>83590</v>
      </c>
      <c r="E914" t="s">
        <v>17</v>
      </c>
      <c r="F914" t="s">
        <v>24</v>
      </c>
    </row>
    <row r="915" spans="1:6" x14ac:dyDescent="0.25">
      <c r="A915" t="s">
        <v>881</v>
      </c>
      <c r="B915" t="s">
        <v>7</v>
      </c>
      <c r="C915" t="s">
        <v>50</v>
      </c>
      <c r="D915">
        <v>107700</v>
      </c>
      <c r="E915" t="s">
        <v>17</v>
      </c>
      <c r="F915" t="s">
        <v>10</v>
      </c>
    </row>
    <row r="916" spans="1:6" x14ac:dyDescent="0.25">
      <c r="A916" t="s">
        <v>882</v>
      </c>
      <c r="B916" t="s">
        <v>12</v>
      </c>
      <c r="C916" t="s">
        <v>8</v>
      </c>
      <c r="D916">
        <v>102130</v>
      </c>
      <c r="E916" t="s">
        <v>21</v>
      </c>
      <c r="F916" t="s">
        <v>28</v>
      </c>
    </row>
    <row r="917" spans="1:6" x14ac:dyDescent="0.25">
      <c r="A917" t="s">
        <v>643</v>
      </c>
      <c r="B917" t="s">
        <v>7</v>
      </c>
      <c r="C917" t="s">
        <v>20</v>
      </c>
      <c r="D917">
        <v>116090</v>
      </c>
      <c r="E917" t="s">
        <v>21</v>
      </c>
      <c r="F917" t="s">
        <v>28</v>
      </c>
    </row>
    <row r="918" spans="1:6" x14ac:dyDescent="0.25">
      <c r="A918" t="s">
        <v>883</v>
      </c>
      <c r="B918" t="s">
        <v>7</v>
      </c>
      <c r="C918" t="s">
        <v>13</v>
      </c>
      <c r="D918">
        <v>74360</v>
      </c>
      <c r="E918" t="s">
        <v>9</v>
      </c>
      <c r="F918" t="s">
        <v>14</v>
      </c>
    </row>
    <row r="919" spans="1:6" x14ac:dyDescent="0.25">
      <c r="A919" t="s">
        <v>884</v>
      </c>
      <c r="B919" t="s">
        <v>12</v>
      </c>
      <c r="C919" t="s">
        <v>31</v>
      </c>
      <c r="D919">
        <v>42310</v>
      </c>
      <c r="E919" t="s">
        <v>17</v>
      </c>
      <c r="F919" t="s">
        <v>18</v>
      </c>
    </row>
    <row r="920" spans="1:6" x14ac:dyDescent="0.25">
      <c r="A920" t="s">
        <v>885</v>
      </c>
      <c r="B920" t="s">
        <v>7</v>
      </c>
      <c r="C920" t="s">
        <v>13</v>
      </c>
      <c r="D920">
        <v>78440</v>
      </c>
      <c r="E920" t="s">
        <v>9</v>
      </c>
      <c r="F920" t="s">
        <v>24</v>
      </c>
    </row>
    <row r="921" spans="1:6" x14ac:dyDescent="0.25">
      <c r="A921" t="s">
        <v>886</v>
      </c>
      <c r="B921" t="s">
        <v>12</v>
      </c>
      <c r="C921" t="s">
        <v>23</v>
      </c>
      <c r="D921">
        <v>113760</v>
      </c>
      <c r="E921" t="s">
        <v>21</v>
      </c>
      <c r="F921" t="s">
        <v>14</v>
      </c>
    </row>
    <row r="922" spans="1:6" x14ac:dyDescent="0.25">
      <c r="A922" t="s">
        <v>887</v>
      </c>
      <c r="B922" t="s">
        <v>12</v>
      </c>
      <c r="C922" t="s">
        <v>31</v>
      </c>
      <c r="D922">
        <v>93880</v>
      </c>
      <c r="E922" t="s">
        <v>21</v>
      </c>
      <c r="F922" t="s">
        <v>28</v>
      </c>
    </row>
    <row r="923" spans="1:6" x14ac:dyDescent="0.25">
      <c r="A923" t="s">
        <v>888</v>
      </c>
      <c r="B923" t="s">
        <v>12</v>
      </c>
      <c r="C923" t="s">
        <v>20</v>
      </c>
      <c r="D923">
        <v>85000</v>
      </c>
      <c r="E923" t="s">
        <v>21</v>
      </c>
      <c r="F923" t="s">
        <v>24</v>
      </c>
    </row>
    <row r="924" spans="1:6" x14ac:dyDescent="0.25">
      <c r="A924" t="s">
        <v>889</v>
      </c>
      <c r="B924" t="s">
        <v>7</v>
      </c>
      <c r="C924" t="s">
        <v>27</v>
      </c>
      <c r="D924">
        <v>72550</v>
      </c>
      <c r="E924" t="s">
        <v>9</v>
      </c>
      <c r="F924" t="s">
        <v>28</v>
      </c>
    </row>
    <row r="925" spans="1:6" x14ac:dyDescent="0.25">
      <c r="A925" t="s">
        <v>890</v>
      </c>
      <c r="B925" t="s">
        <v>12</v>
      </c>
      <c r="C925" t="s">
        <v>20</v>
      </c>
      <c r="D925">
        <v>72360</v>
      </c>
      <c r="E925" t="s">
        <v>21</v>
      </c>
      <c r="F925" t="s">
        <v>24</v>
      </c>
    </row>
    <row r="926" spans="1:6" x14ac:dyDescent="0.25">
      <c r="A926" t="s">
        <v>891</v>
      </c>
      <c r="B926" t="s">
        <v>12</v>
      </c>
      <c r="C926" t="s">
        <v>53</v>
      </c>
      <c r="D926">
        <v>114890</v>
      </c>
      <c r="E926" t="s">
        <v>17</v>
      </c>
      <c r="F926" t="s">
        <v>28</v>
      </c>
    </row>
    <row r="927" spans="1:6" x14ac:dyDescent="0.25">
      <c r="A927" t="s">
        <v>892</v>
      </c>
      <c r="B927" t="s">
        <v>12</v>
      </c>
      <c r="C927" t="s">
        <v>67</v>
      </c>
      <c r="D927">
        <v>107580</v>
      </c>
      <c r="E927" t="s">
        <v>17</v>
      </c>
      <c r="F927" t="s">
        <v>24</v>
      </c>
    </row>
    <row r="928" spans="1:6" x14ac:dyDescent="0.25">
      <c r="A928" t="s">
        <v>893</v>
      </c>
      <c r="B928" t="s">
        <v>7</v>
      </c>
      <c r="C928" t="s">
        <v>50</v>
      </c>
      <c r="D928">
        <v>36040</v>
      </c>
      <c r="E928" t="s">
        <v>17</v>
      </c>
      <c r="F928" t="s">
        <v>28</v>
      </c>
    </row>
    <row r="929" spans="1:6" x14ac:dyDescent="0.25">
      <c r="A929" t="s">
        <v>894</v>
      </c>
      <c r="B929" t="s">
        <v>12</v>
      </c>
      <c r="C929" t="s">
        <v>16</v>
      </c>
      <c r="D929">
        <v>58310</v>
      </c>
      <c r="E929" t="s">
        <v>21</v>
      </c>
      <c r="F929" t="s">
        <v>28</v>
      </c>
    </row>
    <row r="930" spans="1:6" x14ac:dyDescent="0.25">
      <c r="A930" t="s">
        <v>895</v>
      </c>
      <c r="B930" t="s">
        <v>7</v>
      </c>
      <c r="C930" t="s">
        <v>37</v>
      </c>
      <c r="D930">
        <v>35010</v>
      </c>
      <c r="E930" t="s">
        <v>21</v>
      </c>
      <c r="F930" t="s">
        <v>28</v>
      </c>
    </row>
    <row r="931" spans="1:6" x14ac:dyDescent="0.25">
      <c r="A931" t="s">
        <v>896</v>
      </c>
      <c r="B931" t="s">
        <v>7</v>
      </c>
      <c r="C931" t="s">
        <v>50</v>
      </c>
      <c r="D931">
        <v>74280</v>
      </c>
      <c r="E931" t="s">
        <v>9</v>
      </c>
      <c r="F931" t="s">
        <v>28</v>
      </c>
    </row>
    <row r="932" spans="1:6" x14ac:dyDescent="0.25">
      <c r="A932" t="s">
        <v>897</v>
      </c>
      <c r="B932" t="s">
        <v>7</v>
      </c>
      <c r="C932" t="s">
        <v>50</v>
      </c>
      <c r="D932">
        <v>115790</v>
      </c>
      <c r="E932" t="s">
        <v>9</v>
      </c>
      <c r="F932" t="s">
        <v>51</v>
      </c>
    </row>
    <row r="933" spans="1:6" x14ac:dyDescent="0.25">
      <c r="A933" t="s">
        <v>898</v>
      </c>
      <c r="B933" t="s">
        <v>7</v>
      </c>
      <c r="C933" t="s">
        <v>23</v>
      </c>
      <c r="D933">
        <v>38330</v>
      </c>
      <c r="E933" t="s">
        <v>9</v>
      </c>
      <c r="F933" t="s">
        <v>28</v>
      </c>
    </row>
    <row r="934" spans="1:6" x14ac:dyDescent="0.25">
      <c r="A934" t="s">
        <v>899</v>
      </c>
      <c r="B934" t="s">
        <v>7</v>
      </c>
      <c r="C934" t="s">
        <v>34</v>
      </c>
      <c r="D934">
        <v>70270</v>
      </c>
      <c r="E934" t="s">
        <v>17</v>
      </c>
      <c r="F934" t="s">
        <v>10</v>
      </c>
    </row>
    <row r="935" spans="1:6" x14ac:dyDescent="0.25">
      <c r="A935" t="s">
        <v>900</v>
      </c>
      <c r="B935" t="s">
        <v>7</v>
      </c>
      <c r="C935" t="s">
        <v>23</v>
      </c>
      <c r="D935">
        <v>37060</v>
      </c>
      <c r="E935" t="s">
        <v>21</v>
      </c>
      <c r="F935" t="s">
        <v>28</v>
      </c>
    </row>
    <row r="936" spans="1:6" x14ac:dyDescent="0.25">
      <c r="A936" t="s">
        <v>531</v>
      </c>
      <c r="B936" t="s">
        <v>7</v>
      </c>
      <c r="C936" t="s">
        <v>42</v>
      </c>
      <c r="D936">
        <v>53870</v>
      </c>
      <c r="E936" t="s">
        <v>17</v>
      </c>
      <c r="F936" t="s">
        <v>14</v>
      </c>
    </row>
    <row r="937" spans="1:6" x14ac:dyDescent="0.25">
      <c r="A937" t="s">
        <v>901</v>
      </c>
      <c r="B937" t="s">
        <v>7</v>
      </c>
      <c r="C937" t="s">
        <v>27</v>
      </c>
      <c r="E937" t="s">
        <v>17</v>
      </c>
      <c r="F937" t="s">
        <v>28</v>
      </c>
    </row>
    <row r="938" spans="1:6" x14ac:dyDescent="0.25">
      <c r="A938" t="s">
        <v>689</v>
      </c>
      <c r="B938" t="s">
        <v>12</v>
      </c>
      <c r="C938" t="s">
        <v>50</v>
      </c>
      <c r="D938">
        <v>84310</v>
      </c>
      <c r="E938" t="s">
        <v>17</v>
      </c>
      <c r="F938" t="s">
        <v>14</v>
      </c>
    </row>
    <row r="939" spans="1:6" x14ac:dyDescent="0.25">
      <c r="A939" t="s">
        <v>902</v>
      </c>
      <c r="B939" t="s">
        <v>12</v>
      </c>
      <c r="C939" t="s">
        <v>50</v>
      </c>
      <c r="D939">
        <v>58100</v>
      </c>
      <c r="E939" t="s">
        <v>21</v>
      </c>
      <c r="F939" t="s">
        <v>10</v>
      </c>
    </row>
    <row r="940" spans="1:6" x14ac:dyDescent="0.25">
      <c r="A940" t="s">
        <v>903</v>
      </c>
      <c r="B940" t="s">
        <v>7</v>
      </c>
      <c r="C940" t="s">
        <v>23</v>
      </c>
      <c r="D940">
        <v>99780</v>
      </c>
      <c r="E940" t="s">
        <v>21</v>
      </c>
      <c r="F940" t="s">
        <v>10</v>
      </c>
    </row>
    <row r="941" spans="1:6" x14ac:dyDescent="0.25">
      <c r="A941" t="s">
        <v>904</v>
      </c>
      <c r="B941" t="s">
        <v>7</v>
      </c>
      <c r="C941" t="s">
        <v>53</v>
      </c>
      <c r="D941">
        <v>119020</v>
      </c>
      <c r="E941" t="s">
        <v>9</v>
      </c>
      <c r="F941" t="s">
        <v>24</v>
      </c>
    </row>
    <row r="942" spans="1:6" x14ac:dyDescent="0.25">
      <c r="A942" t="s">
        <v>905</v>
      </c>
      <c r="B942" t="s">
        <v>7</v>
      </c>
      <c r="C942" t="s">
        <v>13</v>
      </c>
      <c r="D942">
        <v>92940</v>
      </c>
      <c r="E942" t="s">
        <v>9</v>
      </c>
      <c r="F942" t="s">
        <v>14</v>
      </c>
    </row>
    <row r="943" spans="1:6" x14ac:dyDescent="0.25">
      <c r="A943" t="s">
        <v>906</v>
      </c>
      <c r="B943" t="s">
        <v>7</v>
      </c>
      <c r="C943" t="s">
        <v>42</v>
      </c>
      <c r="D943">
        <v>59670</v>
      </c>
      <c r="E943" t="s">
        <v>21</v>
      </c>
      <c r="F943" t="s">
        <v>18</v>
      </c>
    </row>
    <row r="944" spans="1:6" x14ac:dyDescent="0.25">
      <c r="A944" t="s">
        <v>907</v>
      </c>
      <c r="B944" t="s">
        <v>12</v>
      </c>
      <c r="C944" t="s">
        <v>16</v>
      </c>
      <c r="D944">
        <v>41000</v>
      </c>
      <c r="E944" t="s">
        <v>9</v>
      </c>
      <c r="F944" t="s">
        <v>18</v>
      </c>
    </row>
    <row r="945" spans="1:6" x14ac:dyDescent="0.25">
      <c r="A945" t="s">
        <v>908</v>
      </c>
      <c r="B945" t="s">
        <v>7</v>
      </c>
      <c r="C945" t="s">
        <v>67</v>
      </c>
      <c r="D945">
        <v>77470</v>
      </c>
      <c r="E945" t="s">
        <v>21</v>
      </c>
      <c r="F945" t="s">
        <v>14</v>
      </c>
    </row>
    <row r="946" spans="1:6" x14ac:dyDescent="0.25">
      <c r="A946" t="s">
        <v>909</v>
      </c>
      <c r="B946" t="s">
        <v>7</v>
      </c>
      <c r="C946" t="s">
        <v>13</v>
      </c>
      <c r="D946">
        <v>45650</v>
      </c>
      <c r="E946" t="s">
        <v>9</v>
      </c>
      <c r="F946" t="s">
        <v>14</v>
      </c>
    </row>
    <row r="947" spans="1:6" x14ac:dyDescent="0.25">
      <c r="A947" t="s">
        <v>910</v>
      </c>
      <c r="B947" t="s">
        <v>12</v>
      </c>
      <c r="C947" t="s">
        <v>13</v>
      </c>
      <c r="D947">
        <v>88430</v>
      </c>
      <c r="E947" t="s">
        <v>9</v>
      </c>
      <c r="F947" t="s">
        <v>28</v>
      </c>
    </row>
    <row r="948" spans="1:6" x14ac:dyDescent="0.25">
      <c r="A948" t="s">
        <v>911</v>
      </c>
      <c r="B948" t="s">
        <v>7</v>
      </c>
      <c r="C948" t="s">
        <v>27</v>
      </c>
      <c r="D948">
        <v>36880</v>
      </c>
      <c r="E948" t="s">
        <v>21</v>
      </c>
      <c r="F948" t="s">
        <v>14</v>
      </c>
    </row>
    <row r="949" spans="1:6" x14ac:dyDescent="0.25">
      <c r="A949" t="s">
        <v>861</v>
      </c>
      <c r="B949" t="s">
        <v>7</v>
      </c>
      <c r="C949" t="s">
        <v>34</v>
      </c>
      <c r="D949">
        <v>106400</v>
      </c>
      <c r="E949" t="s">
        <v>17</v>
      </c>
      <c r="F949" t="s">
        <v>24</v>
      </c>
    </row>
    <row r="950" spans="1:6" x14ac:dyDescent="0.25">
      <c r="A950" t="s">
        <v>912</v>
      </c>
      <c r="B950" t="s">
        <v>7</v>
      </c>
      <c r="C950" t="s">
        <v>31</v>
      </c>
      <c r="D950">
        <v>111820</v>
      </c>
      <c r="E950" t="s">
        <v>9</v>
      </c>
      <c r="F950" t="s">
        <v>10</v>
      </c>
    </row>
    <row r="951" spans="1:6" x14ac:dyDescent="0.25">
      <c r="A951" t="s">
        <v>913</v>
      </c>
      <c r="B951" t="s">
        <v>7</v>
      </c>
      <c r="C951" t="s">
        <v>27</v>
      </c>
      <c r="D951">
        <v>92870</v>
      </c>
      <c r="E951" t="s">
        <v>17</v>
      </c>
      <c r="F951" t="s">
        <v>28</v>
      </c>
    </row>
    <row r="952" spans="1:6" x14ac:dyDescent="0.25">
      <c r="A952" t="s">
        <v>914</v>
      </c>
      <c r="B952" t="s">
        <v>7</v>
      </c>
      <c r="C952" t="s">
        <v>34</v>
      </c>
      <c r="D952">
        <v>100360</v>
      </c>
      <c r="E952" t="s">
        <v>9</v>
      </c>
      <c r="F952" t="s">
        <v>28</v>
      </c>
    </row>
    <row r="953" spans="1:6" x14ac:dyDescent="0.25">
      <c r="A953" t="s">
        <v>662</v>
      </c>
      <c r="B953" t="s">
        <v>12</v>
      </c>
      <c r="C953" t="s">
        <v>50</v>
      </c>
      <c r="D953">
        <v>46750</v>
      </c>
      <c r="E953" t="s">
        <v>9</v>
      </c>
      <c r="F953" t="s">
        <v>28</v>
      </c>
    </row>
    <row r="954" spans="1:6" x14ac:dyDescent="0.25">
      <c r="A954" t="s">
        <v>915</v>
      </c>
      <c r="B954" t="s">
        <v>7</v>
      </c>
      <c r="C954" t="s">
        <v>34</v>
      </c>
      <c r="D954">
        <v>48950</v>
      </c>
      <c r="E954" t="s">
        <v>17</v>
      </c>
      <c r="F954" t="s">
        <v>14</v>
      </c>
    </row>
    <row r="955" spans="1:6" x14ac:dyDescent="0.25">
      <c r="A955" t="s">
        <v>916</v>
      </c>
      <c r="B955" t="s">
        <v>7</v>
      </c>
      <c r="C955" t="s">
        <v>8</v>
      </c>
      <c r="D955">
        <v>52810</v>
      </c>
      <c r="E955" t="s">
        <v>17</v>
      </c>
      <c r="F955" t="s">
        <v>24</v>
      </c>
    </row>
    <row r="956" spans="1:6" x14ac:dyDescent="0.25">
      <c r="A956" t="s">
        <v>917</v>
      </c>
      <c r="B956" t="s">
        <v>7</v>
      </c>
      <c r="C956" t="s">
        <v>20</v>
      </c>
      <c r="D956">
        <v>78560</v>
      </c>
      <c r="E956" t="s">
        <v>21</v>
      </c>
      <c r="F956" t="s">
        <v>51</v>
      </c>
    </row>
    <row r="957" spans="1:6" x14ac:dyDescent="0.25">
      <c r="A957" t="s">
        <v>918</v>
      </c>
      <c r="B957" t="s">
        <v>12</v>
      </c>
      <c r="C957" t="s">
        <v>23</v>
      </c>
      <c r="D957">
        <v>75280</v>
      </c>
      <c r="E957" t="s">
        <v>21</v>
      </c>
      <c r="F957" t="s">
        <v>28</v>
      </c>
    </row>
    <row r="958" spans="1:6" x14ac:dyDescent="0.25">
      <c r="A958" t="s">
        <v>919</v>
      </c>
      <c r="B958" t="s">
        <v>12</v>
      </c>
      <c r="C958" t="s">
        <v>42</v>
      </c>
      <c r="D958">
        <v>93130</v>
      </c>
      <c r="E958" t="s">
        <v>21</v>
      </c>
      <c r="F958" t="s">
        <v>24</v>
      </c>
    </row>
    <row r="959" spans="1:6" x14ac:dyDescent="0.25">
      <c r="A959" t="s">
        <v>920</v>
      </c>
      <c r="B959" t="s">
        <v>12</v>
      </c>
      <c r="C959" t="s">
        <v>34</v>
      </c>
      <c r="D959">
        <v>105290</v>
      </c>
      <c r="E959" t="s">
        <v>21</v>
      </c>
      <c r="F959" t="s">
        <v>51</v>
      </c>
    </row>
    <row r="960" spans="1:6" x14ac:dyDescent="0.25">
      <c r="A960" t="s">
        <v>921</v>
      </c>
      <c r="B960" t="s">
        <v>7</v>
      </c>
      <c r="C960" t="s">
        <v>42</v>
      </c>
      <c r="D960">
        <v>108340</v>
      </c>
      <c r="E960" t="s">
        <v>21</v>
      </c>
      <c r="F960" t="s">
        <v>18</v>
      </c>
    </row>
    <row r="961" spans="1:6" x14ac:dyDescent="0.25">
      <c r="A961" t="s">
        <v>216</v>
      </c>
      <c r="B961" t="s">
        <v>12</v>
      </c>
      <c r="C961" t="s">
        <v>20</v>
      </c>
      <c r="D961">
        <v>31090</v>
      </c>
      <c r="E961" t="s">
        <v>21</v>
      </c>
      <c r="F961" t="s">
        <v>28</v>
      </c>
    </row>
    <row r="962" spans="1:6" x14ac:dyDescent="0.25">
      <c r="A962" t="s">
        <v>922</v>
      </c>
      <c r="B962" t="s">
        <v>7</v>
      </c>
      <c r="C962" t="s">
        <v>34</v>
      </c>
      <c r="D962">
        <v>101420</v>
      </c>
      <c r="E962" t="s">
        <v>9</v>
      </c>
      <c r="F962" t="s">
        <v>28</v>
      </c>
    </row>
    <row r="963" spans="1:6" x14ac:dyDescent="0.25">
      <c r="A963" t="s">
        <v>923</v>
      </c>
      <c r="C963" t="s">
        <v>34</v>
      </c>
      <c r="D963">
        <v>54780</v>
      </c>
      <c r="E963" t="s">
        <v>21</v>
      </c>
      <c r="F963" t="s">
        <v>10</v>
      </c>
    </row>
    <row r="964" spans="1:6" x14ac:dyDescent="0.25">
      <c r="A964" t="s">
        <v>924</v>
      </c>
      <c r="B964" t="s">
        <v>12</v>
      </c>
      <c r="C964" t="s">
        <v>23</v>
      </c>
      <c r="D964">
        <v>63560</v>
      </c>
      <c r="E964" t="s">
        <v>17</v>
      </c>
      <c r="F964" t="s">
        <v>10</v>
      </c>
    </row>
    <row r="965" spans="1:6" x14ac:dyDescent="0.25">
      <c r="A965" t="s">
        <v>925</v>
      </c>
      <c r="B965" t="s">
        <v>7</v>
      </c>
      <c r="C965" t="s">
        <v>50</v>
      </c>
      <c r="D965">
        <v>68480</v>
      </c>
      <c r="E965" t="s">
        <v>9</v>
      </c>
      <c r="F965" t="s">
        <v>24</v>
      </c>
    </row>
    <row r="966" spans="1:6" x14ac:dyDescent="0.25">
      <c r="A966" t="s">
        <v>926</v>
      </c>
      <c r="B966" t="s">
        <v>7</v>
      </c>
      <c r="C966" t="s">
        <v>20</v>
      </c>
      <c r="D966">
        <v>99460</v>
      </c>
      <c r="E966" t="s">
        <v>17</v>
      </c>
      <c r="F966" t="s">
        <v>28</v>
      </c>
    </row>
    <row r="967" spans="1:6" x14ac:dyDescent="0.25">
      <c r="A967" t="s">
        <v>927</v>
      </c>
      <c r="B967" t="s">
        <v>7</v>
      </c>
      <c r="C967" t="s">
        <v>31</v>
      </c>
      <c r="D967">
        <v>100420</v>
      </c>
      <c r="E967" t="s">
        <v>17</v>
      </c>
      <c r="F967" t="s">
        <v>24</v>
      </c>
    </row>
    <row r="968" spans="1:6" x14ac:dyDescent="0.25">
      <c r="A968" t="s">
        <v>928</v>
      </c>
      <c r="B968" t="s">
        <v>12</v>
      </c>
      <c r="C968" t="s">
        <v>27</v>
      </c>
      <c r="D968">
        <v>39650</v>
      </c>
      <c r="E968" t="s">
        <v>17</v>
      </c>
      <c r="F968" t="s">
        <v>28</v>
      </c>
    </row>
    <row r="969" spans="1:6" x14ac:dyDescent="0.25">
      <c r="A969" t="s">
        <v>929</v>
      </c>
      <c r="B969" t="s">
        <v>12</v>
      </c>
      <c r="C969" t="s">
        <v>42</v>
      </c>
      <c r="D969">
        <v>56250</v>
      </c>
      <c r="E969" t="s">
        <v>17</v>
      </c>
      <c r="F969" t="s">
        <v>28</v>
      </c>
    </row>
    <row r="970" spans="1:6" x14ac:dyDescent="0.25">
      <c r="A970" t="s">
        <v>930</v>
      </c>
      <c r="B970" t="s">
        <v>12</v>
      </c>
      <c r="C970" t="s">
        <v>67</v>
      </c>
      <c r="D970">
        <v>57640</v>
      </c>
      <c r="E970" t="s">
        <v>17</v>
      </c>
      <c r="F970" t="s">
        <v>28</v>
      </c>
    </row>
    <row r="971" spans="1:6" x14ac:dyDescent="0.25">
      <c r="A971" t="s">
        <v>931</v>
      </c>
      <c r="B971" t="s">
        <v>7</v>
      </c>
      <c r="C971" t="s">
        <v>13</v>
      </c>
      <c r="D971">
        <v>43150</v>
      </c>
      <c r="E971" t="s">
        <v>17</v>
      </c>
      <c r="F971" t="s">
        <v>10</v>
      </c>
    </row>
    <row r="972" spans="1:6" x14ac:dyDescent="0.25">
      <c r="A972" t="s">
        <v>932</v>
      </c>
      <c r="B972" t="s">
        <v>12</v>
      </c>
      <c r="C972" t="s">
        <v>53</v>
      </c>
      <c r="D972">
        <v>106080</v>
      </c>
      <c r="E972" t="s">
        <v>17</v>
      </c>
      <c r="F972" t="s">
        <v>18</v>
      </c>
    </row>
    <row r="973" spans="1:6" x14ac:dyDescent="0.25">
      <c r="A973" t="s">
        <v>933</v>
      </c>
      <c r="B973" t="s">
        <v>7</v>
      </c>
      <c r="C973" t="s">
        <v>8</v>
      </c>
      <c r="D973">
        <v>29590</v>
      </c>
      <c r="E973" t="s">
        <v>21</v>
      </c>
      <c r="F973" t="s">
        <v>14</v>
      </c>
    </row>
    <row r="974" spans="1:6" x14ac:dyDescent="0.25">
      <c r="A974" t="s">
        <v>934</v>
      </c>
      <c r="B974" t="s">
        <v>12</v>
      </c>
      <c r="C974" t="s">
        <v>53</v>
      </c>
      <c r="D974">
        <v>86240</v>
      </c>
      <c r="E974" t="s">
        <v>9</v>
      </c>
      <c r="F974" t="s">
        <v>28</v>
      </c>
    </row>
    <row r="975" spans="1:6" x14ac:dyDescent="0.25">
      <c r="A975" t="s">
        <v>935</v>
      </c>
      <c r="C975" t="s">
        <v>37</v>
      </c>
      <c r="D975">
        <v>36480</v>
      </c>
      <c r="E975" t="s">
        <v>17</v>
      </c>
      <c r="F975" t="s">
        <v>28</v>
      </c>
    </row>
    <row r="976" spans="1:6" x14ac:dyDescent="0.25">
      <c r="A976" t="s">
        <v>936</v>
      </c>
      <c r="B976" t="s">
        <v>7</v>
      </c>
      <c r="C976" t="s">
        <v>34</v>
      </c>
      <c r="E976" t="s">
        <v>21</v>
      </c>
      <c r="F976" t="s">
        <v>28</v>
      </c>
    </row>
    <row r="977" spans="1:6" x14ac:dyDescent="0.25">
      <c r="A977" t="s">
        <v>937</v>
      </c>
      <c r="B977" t="s">
        <v>12</v>
      </c>
      <c r="C977" t="s">
        <v>67</v>
      </c>
      <c r="D977">
        <v>48590</v>
      </c>
      <c r="E977" t="s">
        <v>21</v>
      </c>
      <c r="F977" t="s">
        <v>51</v>
      </c>
    </row>
    <row r="978" spans="1:6" x14ac:dyDescent="0.25">
      <c r="A978" t="s">
        <v>938</v>
      </c>
      <c r="B978" t="s">
        <v>7</v>
      </c>
      <c r="C978" t="s">
        <v>13</v>
      </c>
      <c r="D978">
        <v>41670</v>
      </c>
      <c r="E978" t="s">
        <v>9</v>
      </c>
      <c r="F978" t="s">
        <v>28</v>
      </c>
    </row>
    <row r="979" spans="1:6" x14ac:dyDescent="0.25">
      <c r="A979" t="s">
        <v>265</v>
      </c>
      <c r="B979" t="s">
        <v>12</v>
      </c>
      <c r="C979" t="s">
        <v>23</v>
      </c>
      <c r="D979">
        <v>107340</v>
      </c>
      <c r="E979" t="s">
        <v>9</v>
      </c>
      <c r="F979" t="s">
        <v>10</v>
      </c>
    </row>
    <row r="980" spans="1:6" x14ac:dyDescent="0.25">
      <c r="A980" t="s">
        <v>939</v>
      </c>
      <c r="B980" t="s">
        <v>7</v>
      </c>
      <c r="C980" t="s">
        <v>50</v>
      </c>
      <c r="D980">
        <v>62280</v>
      </c>
      <c r="E980" t="s">
        <v>21</v>
      </c>
      <c r="F980" t="s">
        <v>18</v>
      </c>
    </row>
    <row r="981" spans="1:6" x14ac:dyDescent="0.25">
      <c r="A981" t="s">
        <v>184</v>
      </c>
      <c r="B981" t="s">
        <v>7</v>
      </c>
      <c r="C981" t="s">
        <v>31</v>
      </c>
      <c r="D981">
        <v>37920</v>
      </c>
      <c r="E981" t="s">
        <v>17</v>
      </c>
      <c r="F981" t="s">
        <v>18</v>
      </c>
    </row>
    <row r="982" spans="1:6" x14ac:dyDescent="0.25">
      <c r="A982" t="s">
        <v>940</v>
      </c>
      <c r="B982" t="s">
        <v>12</v>
      </c>
      <c r="C982" t="s">
        <v>23</v>
      </c>
      <c r="E982" t="s">
        <v>21</v>
      </c>
      <c r="F982" t="s">
        <v>28</v>
      </c>
    </row>
    <row r="983" spans="1:6" x14ac:dyDescent="0.25">
      <c r="A983" t="s">
        <v>839</v>
      </c>
      <c r="B983" t="s">
        <v>12</v>
      </c>
      <c r="C983" t="s">
        <v>23</v>
      </c>
      <c r="D983">
        <v>75970</v>
      </c>
      <c r="E983" t="s">
        <v>21</v>
      </c>
      <c r="F983" t="s">
        <v>28</v>
      </c>
    </row>
    <row r="984" spans="1:6" x14ac:dyDescent="0.25">
      <c r="A984" t="s">
        <v>941</v>
      </c>
      <c r="B984" t="s">
        <v>7</v>
      </c>
      <c r="C984" t="s">
        <v>31</v>
      </c>
      <c r="D984">
        <v>92010</v>
      </c>
      <c r="E984" t="s">
        <v>17</v>
      </c>
      <c r="F984" t="s">
        <v>51</v>
      </c>
    </row>
    <row r="985" spans="1:6" x14ac:dyDescent="0.25">
      <c r="A985" t="s">
        <v>108</v>
      </c>
      <c r="B985" t="s">
        <v>7</v>
      </c>
      <c r="C985" t="s">
        <v>27</v>
      </c>
      <c r="D985">
        <v>69860</v>
      </c>
      <c r="E985" t="s">
        <v>9</v>
      </c>
      <c r="F985" t="s">
        <v>24</v>
      </c>
    </row>
    <row r="986" spans="1:6" x14ac:dyDescent="0.25">
      <c r="A986" t="s">
        <v>942</v>
      </c>
      <c r="B986" t="s">
        <v>12</v>
      </c>
      <c r="C986" t="s">
        <v>42</v>
      </c>
      <c r="D986">
        <v>59560</v>
      </c>
      <c r="E986" t="s">
        <v>21</v>
      </c>
      <c r="F986" t="s">
        <v>10</v>
      </c>
    </row>
    <row r="987" spans="1:6" x14ac:dyDescent="0.25">
      <c r="A987" t="s">
        <v>943</v>
      </c>
      <c r="B987" t="s">
        <v>12</v>
      </c>
      <c r="C987" t="s">
        <v>13</v>
      </c>
      <c r="D987">
        <v>114810</v>
      </c>
      <c r="E987" t="s">
        <v>21</v>
      </c>
      <c r="F987" t="s">
        <v>28</v>
      </c>
    </row>
    <row r="988" spans="1:6" x14ac:dyDescent="0.25">
      <c r="A988" t="s">
        <v>944</v>
      </c>
      <c r="B988" t="s">
        <v>12</v>
      </c>
      <c r="C988" t="s">
        <v>37</v>
      </c>
      <c r="D988">
        <v>66870</v>
      </c>
      <c r="E988" t="s">
        <v>17</v>
      </c>
      <c r="F988" t="s">
        <v>18</v>
      </c>
    </row>
    <row r="989" spans="1:6" x14ac:dyDescent="0.25">
      <c r="A989" t="s">
        <v>945</v>
      </c>
      <c r="B989" t="s">
        <v>7</v>
      </c>
      <c r="C989" t="s">
        <v>27</v>
      </c>
      <c r="D989">
        <v>113790</v>
      </c>
      <c r="E989" t="s">
        <v>21</v>
      </c>
      <c r="F989" t="s">
        <v>51</v>
      </c>
    </row>
    <row r="990" spans="1:6" x14ac:dyDescent="0.25">
      <c r="A990" t="s">
        <v>946</v>
      </c>
      <c r="B990" t="s">
        <v>12</v>
      </c>
      <c r="C990" t="s">
        <v>20</v>
      </c>
      <c r="D990">
        <v>38250</v>
      </c>
      <c r="E990" t="s">
        <v>21</v>
      </c>
      <c r="F990" t="s">
        <v>28</v>
      </c>
    </row>
    <row r="991" spans="1:6" x14ac:dyDescent="0.25">
      <c r="A991" t="s">
        <v>947</v>
      </c>
      <c r="C991" t="s">
        <v>23</v>
      </c>
      <c r="D991">
        <v>48090</v>
      </c>
      <c r="E991" t="s">
        <v>17</v>
      </c>
      <c r="F991" t="s">
        <v>18</v>
      </c>
    </row>
    <row r="992" spans="1:6" x14ac:dyDescent="0.25">
      <c r="A992" t="s">
        <v>948</v>
      </c>
      <c r="B992" t="s">
        <v>7</v>
      </c>
      <c r="C992" t="s">
        <v>53</v>
      </c>
      <c r="D992">
        <v>99630</v>
      </c>
      <c r="E992" t="s">
        <v>17</v>
      </c>
      <c r="F992" t="s">
        <v>28</v>
      </c>
    </row>
    <row r="993" spans="1:6" x14ac:dyDescent="0.25">
      <c r="A993" t="s">
        <v>949</v>
      </c>
      <c r="B993" t="s">
        <v>12</v>
      </c>
      <c r="C993" t="s">
        <v>37</v>
      </c>
      <c r="D993">
        <v>86340</v>
      </c>
      <c r="E993" t="s">
        <v>17</v>
      </c>
      <c r="F993" t="s">
        <v>24</v>
      </c>
    </row>
    <row r="994" spans="1:6" x14ac:dyDescent="0.25">
      <c r="A994" t="s">
        <v>950</v>
      </c>
      <c r="C994" t="s">
        <v>8</v>
      </c>
      <c r="D994">
        <v>88590</v>
      </c>
      <c r="E994" t="s">
        <v>17</v>
      </c>
      <c r="F994" t="s">
        <v>28</v>
      </c>
    </row>
    <row r="995" spans="1:6" x14ac:dyDescent="0.25">
      <c r="A995" t="s">
        <v>951</v>
      </c>
      <c r="B995" t="s">
        <v>7</v>
      </c>
      <c r="C995" t="s">
        <v>23</v>
      </c>
      <c r="D995">
        <v>61100</v>
      </c>
      <c r="E995" t="s">
        <v>21</v>
      </c>
      <c r="F995" t="s">
        <v>28</v>
      </c>
    </row>
    <row r="996" spans="1:6" x14ac:dyDescent="0.25">
      <c r="A996" t="s">
        <v>952</v>
      </c>
      <c r="B996" t="s">
        <v>7</v>
      </c>
      <c r="C996" t="s">
        <v>37</v>
      </c>
      <c r="D996">
        <v>71240</v>
      </c>
      <c r="E996" t="s">
        <v>17</v>
      </c>
      <c r="F996" t="s">
        <v>28</v>
      </c>
    </row>
    <row r="997" spans="1:6" x14ac:dyDescent="0.25">
      <c r="A997" t="s">
        <v>953</v>
      </c>
      <c r="B997" t="s">
        <v>7</v>
      </c>
      <c r="C997" t="s">
        <v>8</v>
      </c>
      <c r="D997">
        <v>114650</v>
      </c>
      <c r="E997" t="s">
        <v>21</v>
      </c>
      <c r="F997" t="s">
        <v>51</v>
      </c>
    </row>
    <row r="998" spans="1:6" x14ac:dyDescent="0.25">
      <c r="A998" t="s">
        <v>58</v>
      </c>
      <c r="B998" t="s">
        <v>12</v>
      </c>
      <c r="C998" t="s">
        <v>8</v>
      </c>
      <c r="D998">
        <v>76210</v>
      </c>
      <c r="E998" t="s">
        <v>21</v>
      </c>
      <c r="F998" t="s">
        <v>14</v>
      </c>
    </row>
    <row r="999" spans="1:6" x14ac:dyDescent="0.25">
      <c r="A999" t="s">
        <v>954</v>
      </c>
      <c r="B999" t="s">
        <v>12</v>
      </c>
      <c r="C999" t="s">
        <v>27</v>
      </c>
      <c r="D999">
        <v>76900</v>
      </c>
      <c r="E999" t="s">
        <v>17</v>
      </c>
      <c r="F999" t="s">
        <v>10</v>
      </c>
    </row>
    <row r="1000" spans="1:6" x14ac:dyDescent="0.25">
      <c r="A1000" t="s">
        <v>955</v>
      </c>
      <c r="B1000" t="s">
        <v>12</v>
      </c>
      <c r="C1000" t="s">
        <v>34</v>
      </c>
      <c r="D1000">
        <v>116590</v>
      </c>
      <c r="E1000" t="s">
        <v>9</v>
      </c>
      <c r="F1000" t="s">
        <v>10</v>
      </c>
    </row>
    <row r="1001" spans="1:6" x14ac:dyDescent="0.25">
      <c r="A1001" t="s">
        <v>956</v>
      </c>
      <c r="B1001" t="s">
        <v>12</v>
      </c>
      <c r="C1001" t="s">
        <v>13</v>
      </c>
      <c r="D1001">
        <v>78390</v>
      </c>
      <c r="E1001" t="s">
        <v>17</v>
      </c>
      <c r="F1001" t="s">
        <v>28</v>
      </c>
    </row>
    <row r="1002" spans="1:6" x14ac:dyDescent="0.25">
      <c r="A1002" t="s">
        <v>957</v>
      </c>
      <c r="B1002" t="s">
        <v>12</v>
      </c>
      <c r="C1002" t="s">
        <v>53</v>
      </c>
      <c r="D1002">
        <v>103610</v>
      </c>
      <c r="E1002" t="s">
        <v>21</v>
      </c>
      <c r="F1002" t="s">
        <v>24</v>
      </c>
    </row>
    <row r="1003" spans="1:6" x14ac:dyDescent="0.25">
      <c r="A1003" t="s">
        <v>958</v>
      </c>
      <c r="B1003" t="s">
        <v>7</v>
      </c>
      <c r="C1003" t="s">
        <v>13</v>
      </c>
      <c r="D1003">
        <v>98110</v>
      </c>
      <c r="E1003" t="s">
        <v>17</v>
      </c>
      <c r="F1003" t="s">
        <v>14</v>
      </c>
    </row>
    <row r="1004" spans="1:6" x14ac:dyDescent="0.25">
      <c r="A1004" t="s">
        <v>959</v>
      </c>
      <c r="B1004" t="s">
        <v>12</v>
      </c>
      <c r="C1004" t="s">
        <v>27</v>
      </c>
      <c r="D1004">
        <v>33960</v>
      </c>
      <c r="E1004" t="s">
        <v>9</v>
      </c>
      <c r="F1004" t="s">
        <v>18</v>
      </c>
    </row>
    <row r="1005" spans="1:6" x14ac:dyDescent="0.25">
      <c r="A1005" t="s">
        <v>960</v>
      </c>
      <c r="B1005" t="s">
        <v>7</v>
      </c>
      <c r="C1005" t="s">
        <v>34</v>
      </c>
      <c r="D1005">
        <v>112110</v>
      </c>
      <c r="E1005" t="s">
        <v>21</v>
      </c>
      <c r="F1005" t="s">
        <v>18</v>
      </c>
    </row>
    <row r="1006" spans="1:6" x14ac:dyDescent="0.25">
      <c r="A1006" t="s">
        <v>692</v>
      </c>
      <c r="B1006" t="s">
        <v>7</v>
      </c>
      <c r="C1006" t="s">
        <v>37</v>
      </c>
      <c r="D1006">
        <v>59810</v>
      </c>
      <c r="E1006" t="s">
        <v>9</v>
      </c>
      <c r="F1006" t="s">
        <v>14</v>
      </c>
    </row>
    <row r="1007" spans="1:6" x14ac:dyDescent="0.25">
      <c r="A1007" t="s">
        <v>961</v>
      </c>
      <c r="C1007" t="s">
        <v>42</v>
      </c>
      <c r="D1007">
        <v>91310</v>
      </c>
      <c r="E1007" t="s">
        <v>21</v>
      </c>
      <c r="F1007" t="s">
        <v>28</v>
      </c>
    </row>
    <row r="1008" spans="1:6" x14ac:dyDescent="0.25">
      <c r="A1008" t="s">
        <v>962</v>
      </c>
      <c r="B1008" t="s">
        <v>7</v>
      </c>
      <c r="C1008" t="s">
        <v>34</v>
      </c>
      <c r="D1008">
        <v>71370</v>
      </c>
      <c r="E1008" t="s">
        <v>9</v>
      </c>
      <c r="F1008" t="s">
        <v>28</v>
      </c>
    </row>
    <row r="1009" spans="1:6" x14ac:dyDescent="0.25">
      <c r="A1009" t="s">
        <v>963</v>
      </c>
      <c r="B1009" t="s">
        <v>12</v>
      </c>
      <c r="C1009" t="s">
        <v>42</v>
      </c>
      <c r="D1009">
        <v>71570</v>
      </c>
      <c r="E1009" t="s">
        <v>17</v>
      </c>
      <c r="F1009" t="s">
        <v>18</v>
      </c>
    </row>
    <row r="1010" spans="1:6" x14ac:dyDescent="0.25">
      <c r="A1010" t="s">
        <v>871</v>
      </c>
      <c r="B1010" t="s">
        <v>7</v>
      </c>
      <c r="C1010" t="s">
        <v>37</v>
      </c>
      <c r="D1010">
        <v>119670</v>
      </c>
      <c r="E1010" t="s">
        <v>9</v>
      </c>
      <c r="F1010" t="s">
        <v>18</v>
      </c>
    </row>
    <row r="1011" spans="1:6" x14ac:dyDescent="0.25">
      <c r="A1011" t="s">
        <v>964</v>
      </c>
      <c r="B1011" t="s">
        <v>12</v>
      </c>
      <c r="C1011" t="s">
        <v>67</v>
      </c>
      <c r="D1011">
        <v>67910</v>
      </c>
      <c r="E1011" t="s">
        <v>21</v>
      </c>
      <c r="F1011" t="s">
        <v>28</v>
      </c>
    </row>
    <row r="1012" spans="1:6" x14ac:dyDescent="0.25">
      <c r="A1012" t="s">
        <v>965</v>
      </c>
      <c r="B1012" t="s">
        <v>12</v>
      </c>
      <c r="C1012" t="s">
        <v>23</v>
      </c>
      <c r="D1012">
        <v>100370</v>
      </c>
      <c r="E1012" t="s">
        <v>17</v>
      </c>
      <c r="F1012" t="s">
        <v>28</v>
      </c>
    </row>
    <row r="1013" spans="1:6" x14ac:dyDescent="0.25">
      <c r="A1013" t="s">
        <v>966</v>
      </c>
      <c r="B1013" t="s">
        <v>12</v>
      </c>
      <c r="C1013" t="s">
        <v>34</v>
      </c>
      <c r="D1013">
        <v>90240</v>
      </c>
      <c r="E1013" t="s">
        <v>17</v>
      </c>
      <c r="F1013" t="s">
        <v>24</v>
      </c>
    </row>
    <row r="1014" spans="1:6" x14ac:dyDescent="0.25">
      <c r="A1014" t="s">
        <v>967</v>
      </c>
      <c r="B1014" t="s">
        <v>12</v>
      </c>
      <c r="C1014" t="s">
        <v>13</v>
      </c>
      <c r="D1014">
        <v>75870</v>
      </c>
      <c r="E1014" t="s">
        <v>21</v>
      </c>
      <c r="F1014" t="s">
        <v>28</v>
      </c>
    </row>
    <row r="1015" spans="1:6" x14ac:dyDescent="0.25">
      <c r="A1015" t="s">
        <v>968</v>
      </c>
      <c r="B1015" t="s">
        <v>12</v>
      </c>
      <c r="C1015" t="s">
        <v>42</v>
      </c>
      <c r="D1015">
        <v>58740</v>
      </c>
      <c r="E1015" t="s">
        <v>21</v>
      </c>
      <c r="F1015" t="s">
        <v>18</v>
      </c>
    </row>
    <row r="1016" spans="1:6" x14ac:dyDescent="0.25">
      <c r="A1016" t="s">
        <v>969</v>
      </c>
      <c r="B1016" t="s">
        <v>12</v>
      </c>
      <c r="C1016" t="s">
        <v>20</v>
      </c>
      <c r="D1016">
        <v>32500</v>
      </c>
      <c r="E1016" t="s">
        <v>9</v>
      </c>
      <c r="F1016"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FC1E-021E-442E-8DFB-4993FD31010B}">
  <sheetPr>
    <tabColor rgb="FFFF0000"/>
  </sheetPr>
  <dimension ref="A1:F13"/>
  <sheetViews>
    <sheetView zoomScaleNormal="100" workbookViewId="0">
      <selection activeCell="A4" sqref="A4"/>
    </sheetView>
  </sheetViews>
  <sheetFormatPr defaultRowHeight="15" x14ac:dyDescent="0.25"/>
  <cols>
    <col min="1" max="1" width="26.7109375" style="1" customWidth="1"/>
    <col min="2" max="4" width="19.85546875" style="1" customWidth="1"/>
    <col min="5" max="5" width="15.5703125" style="1" customWidth="1"/>
    <col min="6" max="6" width="25.85546875" style="1" bestFit="1" customWidth="1"/>
    <col min="7" max="7" width="9.140625" style="1"/>
    <col min="8" max="8" width="25.85546875" style="1" bestFit="1" customWidth="1"/>
    <col min="9" max="13" width="9.140625" style="1"/>
    <col min="14" max="14" width="24.85546875" style="1" customWidth="1"/>
    <col min="15" max="16384" width="9.140625" style="1"/>
  </cols>
  <sheetData>
    <row r="1" spans="1:6" x14ac:dyDescent="0.25">
      <c r="A1" s="1" t="s">
        <v>2</v>
      </c>
      <c r="B1" s="2" t="s">
        <v>51</v>
      </c>
      <c r="C1" s="2" t="s">
        <v>24</v>
      </c>
      <c r="D1" s="2" t="s">
        <v>28</v>
      </c>
      <c r="E1" s="2" t="s">
        <v>14</v>
      </c>
      <c r="F1" s="2" t="s">
        <v>10</v>
      </c>
    </row>
    <row r="2" spans="1:6" x14ac:dyDescent="0.25">
      <c r="A2" s="1" t="s">
        <v>8</v>
      </c>
      <c r="B2" s="3">
        <v>5.0000000000000001E-3</v>
      </c>
      <c r="C2" s="3">
        <v>1.2E-2</v>
      </c>
      <c r="D2" s="3">
        <v>2.1000000000000001E-2</v>
      </c>
      <c r="E2" s="3">
        <v>5.0999999999999997E-2</v>
      </c>
      <c r="F2" s="3">
        <v>8.7999999999999995E-2</v>
      </c>
    </row>
    <row r="3" spans="1:6" x14ac:dyDescent="0.25">
      <c r="A3" s="1" t="s">
        <v>13</v>
      </c>
      <c r="B3" s="3">
        <v>5.0000000000000001E-3</v>
      </c>
      <c r="C3" s="3">
        <v>1.0999999999999999E-2</v>
      </c>
      <c r="D3" s="3">
        <v>3.5000000000000003E-2</v>
      </c>
      <c r="E3" s="3">
        <v>4.2999999999999997E-2</v>
      </c>
      <c r="F3" s="3">
        <v>6.0999999999999999E-2</v>
      </c>
    </row>
    <row r="4" spans="1:6" x14ac:dyDescent="0.25">
      <c r="A4" s="1" t="s">
        <v>20</v>
      </c>
      <c r="B4" s="3">
        <v>5.0000000000000001E-3</v>
      </c>
      <c r="C4" s="3">
        <v>1.9E-2</v>
      </c>
      <c r="D4" s="3">
        <v>2.1000000000000001E-2</v>
      </c>
      <c r="E4" s="3">
        <v>5.3999999999999999E-2</v>
      </c>
      <c r="F4" s="3">
        <v>6.4000000000000001E-2</v>
      </c>
    </row>
    <row r="5" spans="1:6" x14ac:dyDescent="0.25">
      <c r="A5" s="1" t="s">
        <v>23</v>
      </c>
      <c r="B5" s="3">
        <v>5.0000000000000001E-3</v>
      </c>
      <c r="C5" s="3">
        <v>0.01</v>
      </c>
      <c r="D5" s="3">
        <v>2.8000000000000001E-2</v>
      </c>
      <c r="E5" s="3">
        <v>4.9000000000000002E-2</v>
      </c>
      <c r="F5" s="3">
        <v>7.5999999999999998E-2</v>
      </c>
    </row>
    <row r="6" spans="1:6" x14ac:dyDescent="0.25">
      <c r="A6" s="1" t="s">
        <v>27</v>
      </c>
      <c r="B6" s="3">
        <v>5.0000000000000001E-3</v>
      </c>
      <c r="C6" s="3">
        <v>1.2999999999999999E-2</v>
      </c>
      <c r="D6" s="3">
        <v>2.7E-2</v>
      </c>
      <c r="E6" s="3">
        <v>5.3999999999999999E-2</v>
      </c>
      <c r="F6" s="3">
        <v>7.5999999999999998E-2</v>
      </c>
    </row>
    <row r="7" spans="1:6" x14ac:dyDescent="0.25">
      <c r="A7" s="1" t="s">
        <v>34</v>
      </c>
      <c r="B7" s="3">
        <v>5.0000000000000001E-3</v>
      </c>
      <c r="C7" s="3">
        <v>1.7999999999999999E-2</v>
      </c>
      <c r="D7" s="3">
        <v>2.4E-2</v>
      </c>
      <c r="E7" s="3">
        <v>0.05</v>
      </c>
      <c r="F7" s="3">
        <v>7.2999999999999995E-2</v>
      </c>
    </row>
    <row r="8" spans="1:6" x14ac:dyDescent="0.25">
      <c r="A8" s="1" t="s">
        <v>37</v>
      </c>
      <c r="B8" s="3">
        <v>5.0000000000000001E-3</v>
      </c>
      <c r="C8" s="3">
        <v>0.01</v>
      </c>
      <c r="D8" s="3">
        <v>3.2000000000000001E-2</v>
      </c>
      <c r="E8" s="3">
        <v>4.1000000000000002E-2</v>
      </c>
      <c r="F8" s="3">
        <v>6.2E-2</v>
      </c>
    </row>
    <row r="9" spans="1:6" x14ac:dyDescent="0.25">
      <c r="A9" s="1" t="s">
        <v>42</v>
      </c>
      <c r="B9" s="3">
        <v>5.0000000000000001E-3</v>
      </c>
      <c r="C9" s="3">
        <v>1.9E-2</v>
      </c>
      <c r="D9" s="3">
        <v>0.04</v>
      </c>
      <c r="E9" s="3">
        <v>5.8999999999999997E-2</v>
      </c>
      <c r="F9" s="3">
        <v>6.3E-2</v>
      </c>
    </row>
    <row r="10" spans="1:6" x14ac:dyDescent="0.25">
      <c r="A10" s="1" t="s">
        <v>50</v>
      </c>
      <c r="B10" s="3">
        <v>5.0000000000000001E-3</v>
      </c>
      <c r="C10" s="3">
        <v>0.02</v>
      </c>
      <c r="D10" s="3">
        <v>3.3000000000000002E-2</v>
      </c>
      <c r="E10" s="3">
        <v>5.3999999999999999E-2</v>
      </c>
      <c r="F10" s="3">
        <v>8.4000000000000005E-2</v>
      </c>
    </row>
    <row r="11" spans="1:6" x14ac:dyDescent="0.25">
      <c r="A11" s="1" t="s">
        <v>53</v>
      </c>
      <c r="B11" s="3">
        <v>5.0000000000000001E-3</v>
      </c>
      <c r="C11" s="3">
        <v>1.2E-2</v>
      </c>
      <c r="D11" s="3">
        <v>0.02</v>
      </c>
      <c r="E11" s="3">
        <v>5.8000000000000003E-2</v>
      </c>
      <c r="F11" s="3">
        <v>7.0999999999999994E-2</v>
      </c>
    </row>
    <row r="12" spans="1:6" x14ac:dyDescent="0.25">
      <c r="A12" s="1" t="s">
        <v>31</v>
      </c>
      <c r="B12" s="3">
        <v>5.0000000000000001E-3</v>
      </c>
      <c r="C12" s="3">
        <v>1.4999999999999999E-2</v>
      </c>
      <c r="D12" s="3">
        <v>2.3E-2</v>
      </c>
      <c r="E12" s="3">
        <v>5.2999999999999999E-2</v>
      </c>
      <c r="F12" s="3">
        <v>7.1999999999999995E-2</v>
      </c>
    </row>
    <row r="13" spans="1:6" x14ac:dyDescent="0.25">
      <c r="A13" s="1" t="s">
        <v>67</v>
      </c>
      <c r="B13" s="3">
        <v>5.0000000000000001E-3</v>
      </c>
      <c r="C13" s="3">
        <v>1.2999999999999999E-2</v>
      </c>
      <c r="D13" s="3">
        <v>3.5000000000000003E-2</v>
      </c>
      <c r="E13" s="3">
        <v>5.8000000000000003E-2</v>
      </c>
      <c r="F13" s="3">
        <v>9.9000000000000005E-2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AF29-3DAB-4C92-BAD7-8D42668BEB46}">
  <sheetPr>
    <tabColor rgb="FF7030A0"/>
  </sheetPr>
  <dimension ref="A1:L875"/>
  <sheetViews>
    <sheetView topLeftCell="A848" workbookViewId="0">
      <selection activeCell="F853" sqref="F853"/>
    </sheetView>
  </sheetViews>
  <sheetFormatPr defaultRowHeight="15" x14ac:dyDescent="0.25"/>
  <cols>
    <col min="1" max="1" width="6.5703125" style="8" bestFit="1" customWidth="1"/>
    <col min="2" max="2" width="24.140625" style="9" bestFit="1" customWidth="1"/>
    <col min="3" max="3" width="10.28515625" style="9" bestFit="1" customWidth="1"/>
    <col min="4" max="4" width="24.7109375" style="9" bestFit="1" customWidth="1"/>
    <col min="5" max="5" width="18.140625" style="9" bestFit="1" customWidth="1"/>
    <col min="6" max="6" width="12.140625" style="11" bestFit="1" customWidth="1"/>
    <col min="7" max="7" width="10.140625" style="10" bestFit="1" customWidth="1"/>
    <col min="8" max="8" width="14.140625" style="10" bestFit="1" customWidth="1"/>
    <col min="9" max="9" width="11.42578125" style="9" bestFit="1" customWidth="1"/>
    <col min="10" max="10" width="10.28515625" style="9" bestFit="1" customWidth="1"/>
    <col min="11" max="11" width="20.5703125" style="4" bestFit="1" customWidth="1"/>
    <col min="12" max="12" width="19.140625" bestFit="1" customWidth="1"/>
  </cols>
  <sheetData>
    <row r="1" spans="1:12" x14ac:dyDescent="0.25">
      <c r="A1" s="8" t="s">
        <v>978</v>
      </c>
      <c r="B1" s="9" t="s">
        <v>0</v>
      </c>
      <c r="C1" s="9" t="s">
        <v>1</v>
      </c>
      <c r="D1" s="9" t="s">
        <v>2</v>
      </c>
      <c r="E1" t="s">
        <v>983</v>
      </c>
      <c r="F1" s="11" t="s">
        <v>3</v>
      </c>
      <c r="G1" s="10" t="s">
        <v>971</v>
      </c>
      <c r="H1" s="10" t="s">
        <v>973</v>
      </c>
      <c r="I1" s="9" t="s">
        <v>4</v>
      </c>
      <c r="J1" s="9" t="s">
        <v>5</v>
      </c>
      <c r="K1" s="4" t="s">
        <v>972</v>
      </c>
      <c r="L1" t="s">
        <v>1005</v>
      </c>
    </row>
    <row r="2" spans="1:12" x14ac:dyDescent="0.25">
      <c r="A2" s="8">
        <v>1</v>
      </c>
      <c r="B2" s="9" t="s">
        <v>6</v>
      </c>
      <c r="C2" s="9" t="s">
        <v>7</v>
      </c>
      <c r="D2" s="9" t="s">
        <v>8</v>
      </c>
      <c r="E2" t="s">
        <v>985</v>
      </c>
      <c r="F2" s="11">
        <v>88050</v>
      </c>
      <c r="G2" s="10">
        <v>7748.4</v>
      </c>
      <c r="H2" s="10">
        <v>95798.399999999994</v>
      </c>
      <c r="I2" s="9" t="s">
        <v>9</v>
      </c>
      <c r="J2" s="9" t="s">
        <v>10</v>
      </c>
      <c r="K2" s="4">
        <v>8.7999999999999995E-2</v>
      </c>
      <c r="L2" t="str">
        <f>IF(pg_1[[#This Row],[Salary]]&gt;=90000, "Met minimum", "Not met minimum")</f>
        <v>Not met minimum</v>
      </c>
    </row>
    <row r="3" spans="1:12" x14ac:dyDescent="0.25">
      <c r="A3" s="8">
        <v>2</v>
      </c>
      <c r="B3" s="9" t="s">
        <v>11</v>
      </c>
      <c r="C3" s="9" t="s">
        <v>12</v>
      </c>
      <c r="D3" s="9" t="s">
        <v>13</v>
      </c>
      <c r="E3" t="s">
        <v>986</v>
      </c>
      <c r="F3" s="11">
        <v>68220</v>
      </c>
      <c r="G3" s="10">
        <v>2933.4599999999996</v>
      </c>
      <c r="H3" s="10">
        <v>71153.460000000006</v>
      </c>
      <c r="I3" s="9" t="s">
        <v>9</v>
      </c>
      <c r="J3" s="9" t="s">
        <v>14</v>
      </c>
      <c r="K3" s="4">
        <v>4.2999999999999997E-2</v>
      </c>
      <c r="L3" t="str">
        <f>IF(pg_1[[#This Row],[Salary]]&gt;=90000, "Met minimum", "Not met minimum")</f>
        <v>Not met minimum</v>
      </c>
    </row>
    <row r="4" spans="1:12" x14ac:dyDescent="0.25">
      <c r="A4" s="8">
        <v>3</v>
      </c>
      <c r="B4" s="9" t="s">
        <v>19</v>
      </c>
      <c r="C4" s="9" t="s">
        <v>970</v>
      </c>
      <c r="D4" s="9" t="s">
        <v>20</v>
      </c>
      <c r="E4" t="s">
        <v>987</v>
      </c>
      <c r="F4" s="11">
        <v>56370</v>
      </c>
      <c r="G4" s="10">
        <v>3607.6800000000003</v>
      </c>
      <c r="H4" s="10">
        <v>59977.68</v>
      </c>
      <c r="I4" s="9" t="s">
        <v>21</v>
      </c>
      <c r="J4" s="9" t="s">
        <v>10</v>
      </c>
      <c r="K4" s="4">
        <v>6.4000000000000001E-2</v>
      </c>
      <c r="L4" t="str">
        <f>IF(pg_1[[#This Row],[Salary]]&gt;=90000, "Met minimum", "Not met minimum")</f>
        <v>Not met minimum</v>
      </c>
    </row>
    <row r="5" spans="1:12" x14ac:dyDescent="0.25">
      <c r="A5" s="8">
        <v>4</v>
      </c>
      <c r="B5" s="9" t="s">
        <v>22</v>
      </c>
      <c r="C5" s="9" t="s">
        <v>12</v>
      </c>
      <c r="D5" s="9" t="s">
        <v>23</v>
      </c>
      <c r="E5" t="s">
        <v>988</v>
      </c>
      <c r="F5" s="11">
        <v>107090</v>
      </c>
      <c r="G5" s="10">
        <v>1070.9000000000001</v>
      </c>
      <c r="H5" s="10">
        <v>108160.9</v>
      </c>
      <c r="I5" s="9" t="s">
        <v>21</v>
      </c>
      <c r="J5" s="9" t="s">
        <v>24</v>
      </c>
      <c r="K5" s="4">
        <v>0.01</v>
      </c>
      <c r="L5" t="str">
        <f>IF(pg_1[[#This Row],[Salary]]&gt;=90000, "Met minimum", "Not met minimum")</f>
        <v>Met minimum</v>
      </c>
    </row>
    <row r="6" spans="1:12" x14ac:dyDescent="0.25">
      <c r="A6" s="8">
        <v>5</v>
      </c>
      <c r="B6" s="9" t="s">
        <v>25</v>
      </c>
      <c r="C6" s="9" t="s">
        <v>7</v>
      </c>
      <c r="D6" s="9" t="s">
        <v>23</v>
      </c>
      <c r="E6" t="s">
        <v>988</v>
      </c>
      <c r="F6" s="11">
        <v>108450</v>
      </c>
      <c r="G6" s="10">
        <v>1084.5</v>
      </c>
      <c r="H6" s="10">
        <v>109534.5</v>
      </c>
      <c r="I6" s="9" t="s">
        <v>17</v>
      </c>
      <c r="J6" s="9" t="s">
        <v>24</v>
      </c>
      <c r="K6" s="4">
        <v>0.01</v>
      </c>
      <c r="L6" t="str">
        <f>IF(pg_1[[#This Row],[Salary]]&gt;=90000, "Met minimum", "Not met minimum")</f>
        <v>Met minimum</v>
      </c>
    </row>
    <row r="7" spans="1:12" x14ac:dyDescent="0.25">
      <c r="A7" s="8">
        <v>6</v>
      </c>
      <c r="B7" s="9" t="s">
        <v>26</v>
      </c>
      <c r="C7" s="9" t="s">
        <v>12</v>
      </c>
      <c r="D7" s="9" t="s">
        <v>27</v>
      </c>
      <c r="E7" t="s">
        <v>989</v>
      </c>
      <c r="F7" s="11">
        <v>41160</v>
      </c>
      <c r="G7" s="10">
        <v>1111.32</v>
      </c>
      <c r="H7" s="10">
        <v>42271.32</v>
      </c>
      <c r="I7" s="9" t="s">
        <v>9</v>
      </c>
      <c r="J7" s="9" t="s">
        <v>28</v>
      </c>
      <c r="K7" s="4">
        <v>2.7E-2</v>
      </c>
      <c r="L7" t="str">
        <f>IF(pg_1[[#This Row],[Salary]]&gt;=90000, "Met minimum", "Not met minimum")</f>
        <v>Not met minimum</v>
      </c>
    </row>
    <row r="8" spans="1:12" x14ac:dyDescent="0.25">
      <c r="A8" s="8">
        <v>7</v>
      </c>
      <c r="B8" s="9" t="s">
        <v>29</v>
      </c>
      <c r="C8" s="9" t="s">
        <v>7</v>
      </c>
      <c r="D8" s="9" t="s">
        <v>20</v>
      </c>
      <c r="E8" t="s">
        <v>988</v>
      </c>
      <c r="F8" s="11">
        <v>109000</v>
      </c>
      <c r="G8" s="10">
        <v>6976</v>
      </c>
      <c r="H8" s="10">
        <v>115976</v>
      </c>
      <c r="I8" s="9" t="s">
        <v>17</v>
      </c>
      <c r="J8" s="9" t="s">
        <v>10</v>
      </c>
      <c r="K8" s="4">
        <v>6.4000000000000001E-2</v>
      </c>
      <c r="L8" t="str">
        <f>IF(pg_1[[#This Row],[Salary]]&gt;=90000, "Met minimum", "Not met minimum")</f>
        <v>Met minimum</v>
      </c>
    </row>
    <row r="9" spans="1:12" x14ac:dyDescent="0.25">
      <c r="A9" s="8">
        <v>8</v>
      </c>
      <c r="B9" s="9" t="s">
        <v>32</v>
      </c>
      <c r="C9" s="9" t="s">
        <v>12</v>
      </c>
      <c r="D9" s="9" t="s">
        <v>23</v>
      </c>
      <c r="E9" t="s">
        <v>989</v>
      </c>
      <c r="F9" s="11">
        <v>43020</v>
      </c>
      <c r="G9" s="10">
        <v>1204.56</v>
      </c>
      <c r="H9" s="10">
        <v>44224.56</v>
      </c>
      <c r="I9" s="9" t="s">
        <v>21</v>
      </c>
      <c r="J9" s="9" t="s">
        <v>28</v>
      </c>
      <c r="K9" s="4">
        <v>2.8000000000000001E-2</v>
      </c>
      <c r="L9" t="str">
        <f>IF(pg_1[[#This Row],[Salary]]&gt;=90000, "Met minimum", "Not met minimum")</f>
        <v>Not met minimum</v>
      </c>
    </row>
    <row r="10" spans="1:12" x14ac:dyDescent="0.25">
      <c r="A10" s="8">
        <v>9</v>
      </c>
      <c r="B10" s="9" t="s">
        <v>33</v>
      </c>
      <c r="C10" s="9" t="s">
        <v>7</v>
      </c>
      <c r="D10" s="9" t="s">
        <v>34</v>
      </c>
      <c r="E10" t="s">
        <v>990</v>
      </c>
      <c r="F10" s="11">
        <v>37800</v>
      </c>
      <c r="G10" s="10">
        <v>907.2</v>
      </c>
      <c r="H10" s="10">
        <v>38707.199999999997</v>
      </c>
      <c r="I10" s="9" t="s">
        <v>9</v>
      </c>
      <c r="J10" s="9" t="s">
        <v>28</v>
      </c>
      <c r="K10" s="4">
        <v>2.4E-2</v>
      </c>
      <c r="L10" t="str">
        <f>IF(pg_1[[#This Row],[Salary]]&gt;=90000, "Met minimum", "Not met minimum")</f>
        <v>Not met minimum</v>
      </c>
    </row>
    <row r="11" spans="1:12" x14ac:dyDescent="0.25">
      <c r="A11" s="8">
        <v>10</v>
      </c>
      <c r="B11" s="9" t="s">
        <v>35</v>
      </c>
      <c r="C11" s="9" t="s">
        <v>7</v>
      </c>
      <c r="D11" s="9" t="s">
        <v>8</v>
      </c>
      <c r="E11" t="s">
        <v>985</v>
      </c>
      <c r="F11" s="11">
        <v>88380</v>
      </c>
      <c r="G11" s="10">
        <v>1855.98</v>
      </c>
      <c r="H11" s="10">
        <v>90235.98</v>
      </c>
      <c r="I11" s="9" t="s">
        <v>21</v>
      </c>
      <c r="J11" s="9" t="s">
        <v>28</v>
      </c>
      <c r="K11" s="4">
        <v>2.1000000000000001E-2</v>
      </c>
      <c r="L11" t="str">
        <f>IF(pg_1[[#This Row],[Salary]]&gt;=90000, "Met minimum", "Not met minimum")</f>
        <v>Not met minimum</v>
      </c>
    </row>
    <row r="12" spans="1:12" x14ac:dyDescent="0.25">
      <c r="A12" s="8">
        <v>11</v>
      </c>
      <c r="B12" s="9" t="s">
        <v>36</v>
      </c>
      <c r="C12" s="9" t="s">
        <v>12</v>
      </c>
      <c r="D12" s="9" t="s">
        <v>37</v>
      </c>
      <c r="E12" t="s">
        <v>985</v>
      </c>
      <c r="F12" s="11">
        <v>84420</v>
      </c>
      <c r="G12" s="10">
        <v>2701.44</v>
      </c>
      <c r="H12" s="10">
        <v>87121.44</v>
      </c>
      <c r="I12" s="9" t="s">
        <v>17</v>
      </c>
      <c r="J12" s="9" t="s">
        <v>28</v>
      </c>
      <c r="K12" s="4">
        <v>3.2000000000000001E-2</v>
      </c>
      <c r="L12" t="str">
        <f>IF(pg_1[[#This Row],[Salary]]&gt;=90000, "Met minimum", "Not met minimum")</f>
        <v>Not met minimum</v>
      </c>
    </row>
    <row r="13" spans="1:12" x14ac:dyDescent="0.25">
      <c r="A13" s="8">
        <v>12</v>
      </c>
      <c r="B13" s="9" t="s">
        <v>38</v>
      </c>
      <c r="C13" s="9" t="s">
        <v>12</v>
      </c>
      <c r="D13" s="9" t="s">
        <v>20</v>
      </c>
      <c r="E13" t="s">
        <v>988</v>
      </c>
      <c r="F13" s="11">
        <v>101760</v>
      </c>
      <c r="G13" s="10">
        <v>5495.04</v>
      </c>
      <c r="H13" s="10">
        <v>107255.03999999999</v>
      </c>
      <c r="I13" s="9" t="s">
        <v>17</v>
      </c>
      <c r="J13" s="9" t="s">
        <v>14</v>
      </c>
      <c r="K13" s="4">
        <v>5.3999999999999999E-2</v>
      </c>
      <c r="L13" t="str">
        <f>IF(pg_1[[#This Row],[Salary]]&gt;=90000, "Met minimum", "Not met minimum")</f>
        <v>Met minimum</v>
      </c>
    </row>
    <row r="14" spans="1:12" x14ac:dyDescent="0.25">
      <c r="A14" s="8">
        <v>13</v>
      </c>
      <c r="B14" s="9" t="s">
        <v>39</v>
      </c>
      <c r="C14" s="9" t="s">
        <v>7</v>
      </c>
      <c r="D14" s="9" t="s">
        <v>8</v>
      </c>
      <c r="E14" t="s">
        <v>991</v>
      </c>
      <c r="F14" s="11">
        <v>110780</v>
      </c>
      <c r="G14" s="10">
        <v>1329.3600000000001</v>
      </c>
      <c r="H14" s="10">
        <v>112109.36</v>
      </c>
      <c r="I14" s="9" t="s">
        <v>17</v>
      </c>
      <c r="J14" s="9" t="s">
        <v>24</v>
      </c>
      <c r="K14" s="4">
        <v>1.2E-2</v>
      </c>
      <c r="L14" t="str">
        <f>IF(pg_1[[#This Row],[Salary]]&gt;=90000, "Met minimum", "Not met minimum")</f>
        <v>Met minimum</v>
      </c>
    </row>
    <row r="15" spans="1:12" x14ac:dyDescent="0.25">
      <c r="A15" s="8">
        <v>14</v>
      </c>
      <c r="B15" s="9" t="s">
        <v>40</v>
      </c>
      <c r="C15" s="9" t="s">
        <v>7</v>
      </c>
      <c r="D15" s="9" t="s">
        <v>27</v>
      </c>
      <c r="E15" t="s">
        <v>986</v>
      </c>
      <c r="F15" s="11">
        <v>68430</v>
      </c>
      <c r="G15" s="10">
        <v>3695.22</v>
      </c>
      <c r="H15" s="10">
        <v>72125.22</v>
      </c>
      <c r="I15" s="9" t="s">
        <v>17</v>
      </c>
      <c r="J15" s="9" t="s">
        <v>14</v>
      </c>
      <c r="K15" s="4">
        <v>5.3999999999999999E-2</v>
      </c>
      <c r="L15" t="str">
        <f>IF(pg_1[[#This Row],[Salary]]&gt;=90000, "Met minimum", "Not met minimum")</f>
        <v>Not met minimum</v>
      </c>
    </row>
    <row r="16" spans="1:12" x14ac:dyDescent="0.25">
      <c r="A16" s="8">
        <v>15</v>
      </c>
      <c r="B16" s="9" t="s">
        <v>41</v>
      </c>
      <c r="C16" s="9" t="s">
        <v>12</v>
      </c>
      <c r="D16" s="9" t="s">
        <v>42</v>
      </c>
      <c r="E16" t="s">
        <v>988</v>
      </c>
      <c r="F16" s="11">
        <v>105370</v>
      </c>
      <c r="G16" s="10">
        <v>6216.83</v>
      </c>
      <c r="H16" s="10">
        <v>111586.83</v>
      </c>
      <c r="I16" s="9" t="s">
        <v>21</v>
      </c>
      <c r="J16" s="9" t="s">
        <v>14</v>
      </c>
      <c r="K16" s="4">
        <v>5.8999999999999997E-2</v>
      </c>
      <c r="L16" t="str">
        <f>IF(pg_1[[#This Row],[Salary]]&gt;=90000, "Met minimum", "Not met minimum")</f>
        <v>Met minimum</v>
      </c>
    </row>
    <row r="17" spans="1:12" x14ac:dyDescent="0.25">
      <c r="A17" s="8">
        <v>16</v>
      </c>
      <c r="B17" s="9" t="s">
        <v>43</v>
      </c>
      <c r="C17" s="9" t="s">
        <v>7</v>
      </c>
      <c r="D17" s="9" t="s">
        <v>13</v>
      </c>
      <c r="E17" t="s">
        <v>991</v>
      </c>
      <c r="F17" s="11">
        <v>113800</v>
      </c>
      <c r="G17" s="10">
        <v>3983.0000000000005</v>
      </c>
      <c r="H17" s="10">
        <v>117783</v>
      </c>
      <c r="I17" s="9" t="s">
        <v>9</v>
      </c>
      <c r="J17" s="9" t="s">
        <v>28</v>
      </c>
      <c r="K17" s="4">
        <v>3.5000000000000003E-2</v>
      </c>
      <c r="L17" t="str">
        <f>IF(pg_1[[#This Row],[Salary]]&gt;=90000, "Met minimum", "Not met minimum")</f>
        <v>Met minimum</v>
      </c>
    </row>
    <row r="18" spans="1:12" x14ac:dyDescent="0.25">
      <c r="A18" s="8">
        <v>17</v>
      </c>
      <c r="B18" s="9" t="s">
        <v>44</v>
      </c>
      <c r="C18" s="9" t="s">
        <v>12</v>
      </c>
      <c r="D18" s="9" t="s">
        <v>8</v>
      </c>
      <c r="E18" t="s">
        <v>992</v>
      </c>
      <c r="F18" s="11">
        <v>76300</v>
      </c>
      <c r="G18" s="10">
        <v>1602.3000000000002</v>
      </c>
      <c r="H18" s="10">
        <v>77902.3</v>
      </c>
      <c r="I18" s="9" t="s">
        <v>21</v>
      </c>
      <c r="J18" s="9" t="s">
        <v>28</v>
      </c>
      <c r="K18" s="4">
        <v>2.1000000000000001E-2</v>
      </c>
      <c r="L18" t="str">
        <f>IF(pg_1[[#This Row],[Salary]]&gt;=90000, "Met minimum", "Not met minimum")</f>
        <v>Not met minimum</v>
      </c>
    </row>
    <row r="19" spans="1:12" x14ac:dyDescent="0.25">
      <c r="A19" s="8">
        <v>18</v>
      </c>
      <c r="B19" s="9" t="s">
        <v>45</v>
      </c>
      <c r="C19" s="9" t="s">
        <v>12</v>
      </c>
      <c r="D19" s="9" t="s">
        <v>8</v>
      </c>
      <c r="E19" t="s">
        <v>989</v>
      </c>
      <c r="F19" s="11">
        <v>44530</v>
      </c>
      <c r="G19" s="10">
        <v>935.13000000000011</v>
      </c>
      <c r="H19" s="10">
        <v>45465.13</v>
      </c>
      <c r="I19" s="9" t="s">
        <v>21</v>
      </c>
      <c r="J19" s="9" t="s">
        <v>28</v>
      </c>
      <c r="K19" s="4">
        <v>2.1000000000000001E-2</v>
      </c>
      <c r="L19" t="str">
        <f>IF(pg_1[[#This Row],[Salary]]&gt;=90000, "Met minimum", "Not met minimum")</f>
        <v>Not met minimum</v>
      </c>
    </row>
    <row r="20" spans="1:12" x14ac:dyDescent="0.25">
      <c r="A20" s="8">
        <v>19</v>
      </c>
      <c r="B20" s="9" t="s">
        <v>46</v>
      </c>
      <c r="C20" s="9" t="s">
        <v>12</v>
      </c>
      <c r="D20" s="9" t="s">
        <v>20</v>
      </c>
      <c r="E20" t="s">
        <v>986</v>
      </c>
      <c r="F20" s="11">
        <v>63710</v>
      </c>
      <c r="G20" s="10">
        <v>1337.91</v>
      </c>
      <c r="H20" s="10">
        <v>65047.91</v>
      </c>
      <c r="I20" s="9" t="s">
        <v>9</v>
      </c>
      <c r="J20" s="9" t="s">
        <v>28</v>
      </c>
      <c r="K20" s="4">
        <v>2.1000000000000001E-2</v>
      </c>
      <c r="L20" t="str">
        <f>IF(pg_1[[#This Row],[Salary]]&gt;=90000, "Met minimum", "Not met minimum")</f>
        <v>Not met minimum</v>
      </c>
    </row>
    <row r="21" spans="1:12" x14ac:dyDescent="0.25">
      <c r="A21" s="8">
        <v>20</v>
      </c>
      <c r="B21" s="9" t="s">
        <v>47</v>
      </c>
      <c r="C21" s="9" t="s">
        <v>12</v>
      </c>
      <c r="D21" s="9" t="s">
        <v>37</v>
      </c>
      <c r="E21" t="s">
        <v>986</v>
      </c>
      <c r="F21" s="11">
        <v>62780</v>
      </c>
      <c r="G21" s="10">
        <v>3892.36</v>
      </c>
      <c r="H21" s="10">
        <v>66672.36</v>
      </c>
      <c r="I21" s="9" t="s">
        <v>17</v>
      </c>
      <c r="J21" s="9" t="s">
        <v>10</v>
      </c>
      <c r="K21" s="4">
        <v>6.2E-2</v>
      </c>
      <c r="L21" t="str">
        <f>IF(pg_1[[#This Row],[Salary]]&gt;=90000, "Met minimum", "Not met minimum")</f>
        <v>Not met minimum</v>
      </c>
    </row>
    <row r="22" spans="1:12" x14ac:dyDescent="0.25">
      <c r="A22" s="8">
        <v>21</v>
      </c>
      <c r="B22" s="9" t="s">
        <v>48</v>
      </c>
      <c r="C22" s="9" t="s">
        <v>12</v>
      </c>
      <c r="D22" s="9" t="s">
        <v>42</v>
      </c>
      <c r="E22" t="s">
        <v>991</v>
      </c>
      <c r="F22" s="11">
        <v>119750</v>
      </c>
      <c r="G22" s="10">
        <v>4790</v>
      </c>
      <c r="H22" s="10">
        <v>124540</v>
      </c>
      <c r="I22" s="9" t="s">
        <v>9</v>
      </c>
      <c r="J22" s="9" t="s">
        <v>28</v>
      </c>
      <c r="K22" s="4">
        <v>0.04</v>
      </c>
      <c r="L22" t="str">
        <f>IF(pg_1[[#This Row],[Salary]]&gt;=90000, "Met minimum", "Not met minimum")</f>
        <v>Met minimum</v>
      </c>
    </row>
    <row r="23" spans="1:12" x14ac:dyDescent="0.25">
      <c r="A23" s="8">
        <v>22</v>
      </c>
      <c r="B23" s="9" t="s">
        <v>49</v>
      </c>
      <c r="C23" s="9" t="s">
        <v>7</v>
      </c>
      <c r="D23" s="9" t="s">
        <v>50</v>
      </c>
      <c r="E23" t="s">
        <v>991</v>
      </c>
      <c r="F23" s="11">
        <v>116980</v>
      </c>
      <c r="G23" s="10">
        <v>584.9</v>
      </c>
      <c r="H23" s="10">
        <v>117564.9</v>
      </c>
      <c r="I23" s="9" t="s">
        <v>21</v>
      </c>
      <c r="J23" s="9" t="s">
        <v>51</v>
      </c>
      <c r="K23" s="4">
        <v>5.0000000000000001E-3</v>
      </c>
      <c r="L23" t="str">
        <f>IF(pg_1[[#This Row],[Salary]]&gt;=90000, "Met minimum", "Not met minimum")</f>
        <v>Met minimum</v>
      </c>
    </row>
    <row r="24" spans="1:12" x14ac:dyDescent="0.25">
      <c r="A24" s="8">
        <v>23</v>
      </c>
      <c r="B24" s="9" t="s">
        <v>52</v>
      </c>
      <c r="C24" s="9" t="s">
        <v>7</v>
      </c>
      <c r="D24" s="9" t="s">
        <v>53</v>
      </c>
      <c r="E24" t="s">
        <v>990</v>
      </c>
      <c r="F24" s="11">
        <v>35940</v>
      </c>
      <c r="G24" s="10">
        <v>2084.52</v>
      </c>
      <c r="H24" s="10">
        <v>38024.519999999997</v>
      </c>
      <c r="I24" s="9" t="s">
        <v>17</v>
      </c>
      <c r="J24" s="9" t="s">
        <v>14</v>
      </c>
      <c r="K24" s="4">
        <v>5.8000000000000003E-2</v>
      </c>
      <c r="L24" t="str">
        <f>IF(pg_1[[#This Row],[Salary]]&gt;=90000, "Met minimum", "Not met minimum")</f>
        <v>Not met minimum</v>
      </c>
    </row>
    <row r="25" spans="1:12" x14ac:dyDescent="0.25">
      <c r="A25" s="8">
        <v>24</v>
      </c>
      <c r="B25" s="9" t="s">
        <v>54</v>
      </c>
      <c r="C25" s="9" t="s">
        <v>7</v>
      </c>
      <c r="D25" s="9" t="s">
        <v>31</v>
      </c>
      <c r="E25" t="s">
        <v>988</v>
      </c>
      <c r="F25" s="11">
        <v>109040</v>
      </c>
      <c r="G25" s="10">
        <v>2507.92</v>
      </c>
      <c r="H25" s="10">
        <v>111547.92</v>
      </c>
      <c r="I25" s="9" t="s">
        <v>9</v>
      </c>
      <c r="J25" s="9" t="s">
        <v>28</v>
      </c>
      <c r="K25" s="4">
        <v>2.3E-2</v>
      </c>
      <c r="L25" t="str">
        <f>IF(pg_1[[#This Row],[Salary]]&gt;=90000, "Met minimum", "Not met minimum")</f>
        <v>Met minimum</v>
      </c>
    </row>
    <row r="26" spans="1:12" x14ac:dyDescent="0.25">
      <c r="A26" s="8">
        <v>25</v>
      </c>
      <c r="B26" s="9" t="s">
        <v>55</v>
      </c>
      <c r="C26" s="9" t="s">
        <v>12</v>
      </c>
      <c r="D26" s="9" t="s">
        <v>31</v>
      </c>
      <c r="E26" t="s">
        <v>988</v>
      </c>
      <c r="F26" s="11">
        <v>109160</v>
      </c>
      <c r="G26" s="10">
        <v>5785.48</v>
      </c>
      <c r="H26" s="10">
        <v>114945.48</v>
      </c>
      <c r="I26" s="9" t="s">
        <v>21</v>
      </c>
      <c r="J26" s="9" t="s">
        <v>14</v>
      </c>
      <c r="K26" s="4">
        <v>5.2999999999999999E-2</v>
      </c>
      <c r="L26" t="str">
        <f>IF(pg_1[[#This Row],[Salary]]&gt;=90000, "Met minimum", "Not met minimum")</f>
        <v>Met minimum</v>
      </c>
    </row>
    <row r="27" spans="1:12" x14ac:dyDescent="0.25">
      <c r="A27" s="8">
        <v>26</v>
      </c>
      <c r="B27" s="9" t="s">
        <v>56</v>
      </c>
      <c r="C27" s="9" t="s">
        <v>7</v>
      </c>
      <c r="D27" s="9" t="s">
        <v>27</v>
      </c>
      <c r="E27" t="s">
        <v>992</v>
      </c>
      <c r="F27" s="11">
        <v>75540</v>
      </c>
      <c r="G27" s="10">
        <v>2039.58</v>
      </c>
      <c r="H27" s="10">
        <v>77579.58</v>
      </c>
      <c r="I27" s="9" t="s">
        <v>17</v>
      </c>
      <c r="J27" s="9" t="s">
        <v>28</v>
      </c>
      <c r="K27" s="4">
        <v>2.7E-2</v>
      </c>
      <c r="L27" t="str">
        <f>IF(pg_1[[#This Row],[Salary]]&gt;=90000, "Met minimum", "Not met minimum")</f>
        <v>Not met minimum</v>
      </c>
    </row>
    <row r="28" spans="1:12" x14ac:dyDescent="0.25">
      <c r="A28" s="8">
        <v>27</v>
      </c>
      <c r="B28" s="9" t="s">
        <v>57</v>
      </c>
      <c r="C28" s="9" t="s">
        <v>12</v>
      </c>
      <c r="D28" s="9" t="s">
        <v>13</v>
      </c>
      <c r="E28" t="s">
        <v>993</v>
      </c>
      <c r="F28" s="11">
        <v>30000</v>
      </c>
      <c r="G28" s="10">
        <v>1050</v>
      </c>
      <c r="H28" s="10">
        <v>31050</v>
      </c>
      <c r="I28" s="9" t="s">
        <v>21</v>
      </c>
      <c r="J28" s="9" t="s">
        <v>28</v>
      </c>
      <c r="K28" s="4">
        <v>3.5000000000000003E-2</v>
      </c>
      <c r="L28" t="str">
        <f>IF(pg_1[[#This Row],[Salary]]&gt;=90000, "Met minimum", "Not met minimum")</f>
        <v>Not met minimum</v>
      </c>
    </row>
    <row r="29" spans="1:12" x14ac:dyDescent="0.25">
      <c r="A29" s="8">
        <v>28</v>
      </c>
      <c r="B29" s="9" t="s">
        <v>58</v>
      </c>
      <c r="C29" s="9" t="s">
        <v>12</v>
      </c>
      <c r="D29" s="9" t="s">
        <v>8</v>
      </c>
      <c r="E29" t="s">
        <v>992</v>
      </c>
      <c r="F29" s="11">
        <v>76210</v>
      </c>
      <c r="G29" s="10">
        <v>3886.7099999999996</v>
      </c>
      <c r="H29" s="10">
        <v>80096.710000000006</v>
      </c>
      <c r="I29" s="9" t="s">
        <v>17</v>
      </c>
      <c r="J29" s="9" t="s">
        <v>14</v>
      </c>
      <c r="K29" s="4">
        <v>5.0999999999999997E-2</v>
      </c>
      <c r="L29" t="str">
        <f>IF(pg_1[[#This Row],[Salary]]&gt;=90000, "Met minimum", "Not met minimum")</f>
        <v>Not met minimum</v>
      </c>
    </row>
    <row r="30" spans="1:12" x14ac:dyDescent="0.25">
      <c r="A30" s="8">
        <v>29</v>
      </c>
      <c r="B30" s="9" t="s">
        <v>60</v>
      </c>
      <c r="C30" s="9" t="s">
        <v>7</v>
      </c>
      <c r="D30" s="9" t="s">
        <v>20</v>
      </c>
      <c r="E30" t="s">
        <v>988</v>
      </c>
      <c r="F30" s="11">
        <v>108460</v>
      </c>
      <c r="G30" s="10">
        <v>5856.84</v>
      </c>
      <c r="H30" s="10">
        <v>114316.84</v>
      </c>
      <c r="I30" s="9" t="s">
        <v>21</v>
      </c>
      <c r="J30" s="9" t="s">
        <v>14</v>
      </c>
      <c r="K30" s="4">
        <v>5.3999999999999999E-2</v>
      </c>
      <c r="L30" t="str">
        <f>IF(pg_1[[#This Row],[Salary]]&gt;=90000, "Met minimum", "Not met minimum")</f>
        <v>Met minimum</v>
      </c>
    </row>
    <row r="31" spans="1:12" x14ac:dyDescent="0.25">
      <c r="A31" s="8">
        <v>30</v>
      </c>
      <c r="B31" s="9" t="s">
        <v>61</v>
      </c>
      <c r="C31" s="9" t="s">
        <v>7</v>
      </c>
      <c r="D31" s="9" t="s">
        <v>50</v>
      </c>
      <c r="E31" t="s">
        <v>986</v>
      </c>
      <c r="F31" s="11">
        <v>69070</v>
      </c>
      <c r="G31" s="10">
        <v>1381.4</v>
      </c>
      <c r="H31" s="10">
        <v>70451.399999999994</v>
      </c>
      <c r="I31" s="9" t="s">
        <v>21</v>
      </c>
      <c r="J31" s="9" t="s">
        <v>24</v>
      </c>
      <c r="K31" s="4">
        <v>0.02</v>
      </c>
      <c r="L31" t="str">
        <f>IF(pg_1[[#This Row],[Salary]]&gt;=90000, "Met minimum", "Not met minimum")</f>
        <v>Not met minimum</v>
      </c>
    </row>
    <row r="32" spans="1:12" x14ac:dyDescent="0.25">
      <c r="A32" s="8">
        <v>31</v>
      </c>
      <c r="B32" s="9" t="s">
        <v>62</v>
      </c>
      <c r="C32" s="9" t="s">
        <v>12</v>
      </c>
      <c r="D32" s="9" t="s">
        <v>34</v>
      </c>
      <c r="E32" t="s">
        <v>991</v>
      </c>
      <c r="F32" s="11">
        <v>116520</v>
      </c>
      <c r="G32" s="10">
        <v>5826</v>
      </c>
      <c r="H32" s="10">
        <v>122346</v>
      </c>
      <c r="I32" s="9" t="s">
        <v>9</v>
      </c>
      <c r="J32" s="9" t="s">
        <v>14</v>
      </c>
      <c r="K32" s="4">
        <v>0.05</v>
      </c>
      <c r="L32" t="str">
        <f>IF(pg_1[[#This Row],[Salary]]&gt;=90000, "Met minimum", "Not met minimum")</f>
        <v>Met minimum</v>
      </c>
    </row>
    <row r="33" spans="1:12" x14ac:dyDescent="0.25">
      <c r="A33" s="8">
        <v>32</v>
      </c>
      <c r="B33" s="9" t="s">
        <v>63</v>
      </c>
      <c r="C33" s="9" t="s">
        <v>12</v>
      </c>
      <c r="D33" s="9" t="s">
        <v>50</v>
      </c>
      <c r="E33" t="s">
        <v>994</v>
      </c>
      <c r="F33" s="11">
        <v>96560</v>
      </c>
      <c r="G33" s="10">
        <v>0</v>
      </c>
      <c r="H33" s="10">
        <v>96560</v>
      </c>
      <c r="I33" s="9" t="s">
        <v>21</v>
      </c>
      <c r="J33" s="9" t="s">
        <v>18</v>
      </c>
      <c r="K33" s="4">
        <v>0</v>
      </c>
      <c r="L33" t="str">
        <f>IF(pg_1[[#This Row],[Salary]]&gt;=90000, "Met minimum", "Not met minimum")</f>
        <v>Met minimum</v>
      </c>
    </row>
    <row r="34" spans="1:12" x14ac:dyDescent="0.25">
      <c r="A34" s="8">
        <v>33</v>
      </c>
      <c r="B34" s="9" t="s">
        <v>64</v>
      </c>
      <c r="C34" s="9" t="s">
        <v>12</v>
      </c>
      <c r="D34" s="9" t="s">
        <v>27</v>
      </c>
      <c r="E34" t="s">
        <v>990</v>
      </c>
      <c r="F34" s="11">
        <v>36460</v>
      </c>
      <c r="G34" s="10">
        <v>1968.84</v>
      </c>
      <c r="H34" s="10">
        <v>38428.839999999997</v>
      </c>
      <c r="I34" s="9" t="s">
        <v>17</v>
      </c>
      <c r="J34" s="9" t="s">
        <v>14</v>
      </c>
      <c r="K34" s="4">
        <v>5.3999999999999999E-2</v>
      </c>
      <c r="L34" t="str">
        <f>IF(pg_1[[#This Row],[Salary]]&gt;=90000, "Met minimum", "Not met minimum")</f>
        <v>Not met minimum</v>
      </c>
    </row>
    <row r="35" spans="1:12" x14ac:dyDescent="0.25">
      <c r="A35" s="8">
        <v>34</v>
      </c>
      <c r="B35" s="9" t="s">
        <v>65</v>
      </c>
      <c r="C35" s="9" t="s">
        <v>12</v>
      </c>
      <c r="D35" s="9" t="s">
        <v>42</v>
      </c>
      <c r="E35" t="s">
        <v>987</v>
      </c>
      <c r="F35" s="11">
        <v>50950</v>
      </c>
      <c r="G35" s="10">
        <v>3006.0499999999997</v>
      </c>
      <c r="H35" s="10">
        <v>53956.05</v>
      </c>
      <c r="I35" s="9" t="s">
        <v>21</v>
      </c>
      <c r="J35" s="9" t="s">
        <v>14</v>
      </c>
      <c r="K35" s="4">
        <v>5.8999999999999997E-2</v>
      </c>
      <c r="L35" t="str">
        <f>IF(pg_1[[#This Row],[Salary]]&gt;=90000, "Met minimum", "Not met minimum")</f>
        <v>Not met minimum</v>
      </c>
    </row>
    <row r="36" spans="1:12" x14ac:dyDescent="0.25">
      <c r="A36" s="8">
        <v>35</v>
      </c>
      <c r="B36" s="9" t="s">
        <v>66</v>
      </c>
      <c r="C36" s="9" t="s">
        <v>12</v>
      </c>
      <c r="D36" s="9" t="s">
        <v>67</v>
      </c>
      <c r="E36" t="s">
        <v>992</v>
      </c>
      <c r="F36" s="11">
        <v>75440</v>
      </c>
      <c r="G36" s="10">
        <v>2640.4</v>
      </c>
      <c r="H36" s="10">
        <v>78080.399999999994</v>
      </c>
      <c r="I36" s="9" t="s">
        <v>9</v>
      </c>
      <c r="J36" s="9" t="s">
        <v>28</v>
      </c>
      <c r="K36" s="4">
        <v>3.5000000000000003E-2</v>
      </c>
      <c r="L36" t="str">
        <f>IF(pg_1[[#This Row],[Salary]]&gt;=90000, "Met minimum", "Not met minimum")</f>
        <v>Not met minimum</v>
      </c>
    </row>
    <row r="37" spans="1:12" x14ac:dyDescent="0.25">
      <c r="A37" s="8">
        <v>36</v>
      </c>
      <c r="B37" s="9" t="s">
        <v>68</v>
      </c>
      <c r="C37" s="9" t="s">
        <v>12</v>
      </c>
      <c r="D37" s="9" t="s">
        <v>8</v>
      </c>
      <c r="E37" t="s">
        <v>985</v>
      </c>
      <c r="F37" s="11">
        <v>84760</v>
      </c>
      <c r="G37" s="10">
        <v>1779.96</v>
      </c>
      <c r="H37" s="10">
        <v>86539.96</v>
      </c>
      <c r="I37" s="9" t="s">
        <v>21</v>
      </c>
      <c r="J37" s="9" t="s">
        <v>28</v>
      </c>
      <c r="K37" s="4">
        <v>2.1000000000000001E-2</v>
      </c>
      <c r="L37" t="str">
        <f>IF(pg_1[[#This Row],[Salary]]&gt;=90000, "Met minimum", "Not met minimum")</f>
        <v>Not met minimum</v>
      </c>
    </row>
    <row r="38" spans="1:12" x14ac:dyDescent="0.25">
      <c r="A38" s="8">
        <v>37</v>
      </c>
      <c r="B38" s="9" t="s">
        <v>69</v>
      </c>
      <c r="C38" s="9" t="s">
        <v>7</v>
      </c>
      <c r="D38" s="9" t="s">
        <v>13</v>
      </c>
      <c r="E38" t="s">
        <v>985</v>
      </c>
      <c r="F38" s="11">
        <v>82240</v>
      </c>
      <c r="G38" s="10">
        <v>904.64</v>
      </c>
      <c r="H38" s="10">
        <v>83144.639999999999</v>
      </c>
      <c r="I38" s="9" t="s">
        <v>21</v>
      </c>
      <c r="J38" s="9" t="s">
        <v>24</v>
      </c>
      <c r="K38" s="4">
        <v>1.0999999999999999E-2</v>
      </c>
      <c r="L38" t="str">
        <f>IF(pg_1[[#This Row],[Salary]]&gt;=90000, "Met minimum", "Not met minimum")</f>
        <v>Not met minimum</v>
      </c>
    </row>
    <row r="39" spans="1:12" x14ac:dyDescent="0.25">
      <c r="A39" s="8">
        <v>38</v>
      </c>
      <c r="B39" s="9" t="s">
        <v>70</v>
      </c>
      <c r="C39" s="9" t="s">
        <v>7</v>
      </c>
      <c r="D39" s="9" t="s">
        <v>27</v>
      </c>
      <c r="E39" t="s">
        <v>993</v>
      </c>
      <c r="F39" s="11">
        <v>28330</v>
      </c>
      <c r="G39" s="10">
        <v>141.65</v>
      </c>
      <c r="H39" s="10">
        <v>28471.65</v>
      </c>
      <c r="I39" s="9" t="s">
        <v>9</v>
      </c>
      <c r="J39" s="9" t="s">
        <v>51</v>
      </c>
      <c r="K39" s="4">
        <v>5.0000000000000001E-3</v>
      </c>
      <c r="L39" t="str">
        <f>IF(pg_1[[#This Row],[Salary]]&gt;=90000, "Met minimum", "Not met minimum")</f>
        <v>Not met minimum</v>
      </c>
    </row>
    <row r="40" spans="1:12" x14ac:dyDescent="0.25">
      <c r="A40" s="8">
        <v>39</v>
      </c>
      <c r="B40" s="9" t="s">
        <v>71</v>
      </c>
      <c r="C40" s="9" t="s">
        <v>12</v>
      </c>
      <c r="D40" s="9" t="s">
        <v>27</v>
      </c>
      <c r="E40" t="s">
        <v>986</v>
      </c>
      <c r="F40" s="11">
        <v>60580</v>
      </c>
      <c r="G40" s="10">
        <v>4604.08</v>
      </c>
      <c r="H40" s="10">
        <v>65184.08</v>
      </c>
      <c r="I40" s="9" t="s">
        <v>9</v>
      </c>
      <c r="J40" s="9" t="s">
        <v>10</v>
      </c>
      <c r="K40" s="4">
        <v>7.5999999999999998E-2</v>
      </c>
      <c r="L40" t="str">
        <f>IF(pg_1[[#This Row],[Salary]]&gt;=90000, "Met minimum", "Not met minimum")</f>
        <v>Not met minimum</v>
      </c>
    </row>
    <row r="41" spans="1:12" x14ac:dyDescent="0.25">
      <c r="A41" s="8">
        <v>40</v>
      </c>
      <c r="B41" s="9" t="s">
        <v>72</v>
      </c>
      <c r="C41" s="9" t="s">
        <v>7</v>
      </c>
      <c r="D41" s="9" t="s">
        <v>23</v>
      </c>
      <c r="E41" t="s">
        <v>989</v>
      </c>
      <c r="F41" s="11">
        <v>45510</v>
      </c>
      <c r="G41" s="10">
        <v>3458.7599999999998</v>
      </c>
      <c r="H41" s="10">
        <v>48968.76</v>
      </c>
      <c r="I41" s="9" t="s">
        <v>21</v>
      </c>
      <c r="J41" s="9" t="s">
        <v>10</v>
      </c>
      <c r="K41" s="4">
        <v>7.5999999999999998E-2</v>
      </c>
      <c r="L41" t="str">
        <f>IF(pg_1[[#This Row],[Salary]]&gt;=90000, "Met minimum", "Not met minimum")</f>
        <v>Not met minimum</v>
      </c>
    </row>
    <row r="42" spans="1:12" x14ac:dyDescent="0.25">
      <c r="A42" s="8">
        <v>41</v>
      </c>
      <c r="B42" s="9" t="s">
        <v>73</v>
      </c>
      <c r="C42" s="9" t="s">
        <v>12</v>
      </c>
      <c r="D42" s="9" t="s">
        <v>27</v>
      </c>
      <c r="E42" t="s">
        <v>991</v>
      </c>
      <c r="F42" s="11">
        <v>110770</v>
      </c>
      <c r="G42" s="10">
        <v>5981.58</v>
      </c>
      <c r="H42" s="10">
        <v>116751.58</v>
      </c>
      <c r="I42" s="9" t="s">
        <v>17</v>
      </c>
      <c r="J42" s="9" t="s">
        <v>14</v>
      </c>
      <c r="K42" s="4">
        <v>5.3999999999999999E-2</v>
      </c>
      <c r="L42" t="str">
        <f>IF(pg_1[[#This Row],[Salary]]&gt;=90000, "Met minimum", "Not met minimum")</f>
        <v>Met minimum</v>
      </c>
    </row>
    <row r="43" spans="1:12" x14ac:dyDescent="0.25">
      <c r="A43" s="8">
        <v>42</v>
      </c>
      <c r="B43" s="9" t="s">
        <v>74</v>
      </c>
      <c r="C43" s="9" t="s">
        <v>12</v>
      </c>
      <c r="D43" s="9" t="s">
        <v>37</v>
      </c>
      <c r="E43" t="s">
        <v>985</v>
      </c>
      <c r="F43" s="11">
        <v>86920</v>
      </c>
      <c r="G43" s="10">
        <v>2781.44</v>
      </c>
      <c r="H43" s="10">
        <v>89701.440000000002</v>
      </c>
      <c r="I43" s="9" t="s">
        <v>17</v>
      </c>
      <c r="J43" s="9" t="s">
        <v>28</v>
      </c>
      <c r="K43" s="4">
        <v>3.2000000000000001E-2</v>
      </c>
      <c r="L43" t="str">
        <f>IF(pg_1[[#This Row],[Salary]]&gt;=90000, "Met minimum", "Not met minimum")</f>
        <v>Not met minimum</v>
      </c>
    </row>
    <row r="44" spans="1:12" x14ac:dyDescent="0.25">
      <c r="A44" s="8">
        <v>43</v>
      </c>
      <c r="B44" s="9" t="s">
        <v>75</v>
      </c>
      <c r="C44" s="9" t="s">
        <v>970</v>
      </c>
      <c r="D44" s="9" t="s">
        <v>42</v>
      </c>
      <c r="E44" t="s">
        <v>985</v>
      </c>
      <c r="F44" s="11">
        <v>84680</v>
      </c>
      <c r="G44" s="10">
        <v>4996.12</v>
      </c>
      <c r="H44" s="10">
        <v>89676.12</v>
      </c>
      <c r="I44" s="9" t="s">
        <v>9</v>
      </c>
      <c r="J44" s="9" t="s">
        <v>14</v>
      </c>
      <c r="K44" s="4">
        <v>5.8999999999999997E-2</v>
      </c>
      <c r="L44" t="str">
        <f>IF(pg_1[[#This Row],[Salary]]&gt;=90000, "Met minimum", "Not met minimum")</f>
        <v>Not met minimum</v>
      </c>
    </row>
    <row r="45" spans="1:12" x14ac:dyDescent="0.25">
      <c r="A45" s="8">
        <v>44</v>
      </c>
      <c r="B45" s="9" t="s">
        <v>76</v>
      </c>
      <c r="C45" s="9" t="s">
        <v>12</v>
      </c>
      <c r="D45" s="9" t="s">
        <v>50</v>
      </c>
      <c r="E45" t="s">
        <v>990</v>
      </c>
      <c r="F45" s="11">
        <v>36860</v>
      </c>
      <c r="G45" s="10">
        <v>737.2</v>
      </c>
      <c r="H45" s="10">
        <v>37597.199999999997</v>
      </c>
      <c r="I45" s="9" t="s">
        <v>9</v>
      </c>
      <c r="J45" s="9" t="s">
        <v>24</v>
      </c>
      <c r="K45" s="4">
        <v>0.02</v>
      </c>
      <c r="L45" t="str">
        <f>IF(pg_1[[#This Row],[Salary]]&gt;=90000, "Met minimum", "Not met minimum")</f>
        <v>Not met minimum</v>
      </c>
    </row>
    <row r="46" spans="1:12" x14ac:dyDescent="0.25">
      <c r="A46" s="8">
        <v>45</v>
      </c>
      <c r="B46" s="9" t="s">
        <v>77</v>
      </c>
      <c r="C46" s="9" t="s">
        <v>970</v>
      </c>
      <c r="D46" s="9" t="s">
        <v>8</v>
      </c>
      <c r="E46" t="s">
        <v>991</v>
      </c>
      <c r="F46" s="11">
        <v>114010</v>
      </c>
      <c r="G46" s="10">
        <v>2394.21</v>
      </c>
      <c r="H46" s="10">
        <v>116404.21</v>
      </c>
      <c r="I46" s="9" t="s">
        <v>21</v>
      </c>
      <c r="J46" s="9" t="s">
        <v>28</v>
      </c>
      <c r="K46" s="4">
        <v>2.1000000000000001E-2</v>
      </c>
      <c r="L46" t="str">
        <f>IF(pg_1[[#This Row],[Salary]]&gt;=90000, "Met minimum", "Not met minimum")</f>
        <v>Met minimum</v>
      </c>
    </row>
    <row r="47" spans="1:12" x14ac:dyDescent="0.25">
      <c r="A47" s="8">
        <v>46</v>
      </c>
      <c r="B47" s="9" t="s">
        <v>78</v>
      </c>
      <c r="C47" s="9" t="s">
        <v>970</v>
      </c>
      <c r="D47" s="9" t="s">
        <v>31</v>
      </c>
      <c r="E47" t="s">
        <v>987</v>
      </c>
      <c r="F47" s="11">
        <v>54130</v>
      </c>
      <c r="G47" s="10">
        <v>270.64999999999998</v>
      </c>
      <c r="H47" s="10">
        <v>54400.65</v>
      </c>
      <c r="I47" s="9" t="s">
        <v>21</v>
      </c>
      <c r="J47" s="9" t="s">
        <v>51</v>
      </c>
      <c r="K47" s="4">
        <v>5.0000000000000001E-3</v>
      </c>
      <c r="L47" t="str">
        <f>IF(pg_1[[#This Row],[Salary]]&gt;=90000, "Met minimum", "Not met minimum")</f>
        <v>Not met minimum</v>
      </c>
    </row>
    <row r="48" spans="1:12" x14ac:dyDescent="0.25">
      <c r="A48" s="8">
        <v>47</v>
      </c>
      <c r="B48" s="9" t="s">
        <v>79</v>
      </c>
      <c r="C48" s="9" t="s">
        <v>12</v>
      </c>
      <c r="D48" s="9" t="s">
        <v>37</v>
      </c>
      <c r="E48" t="s">
        <v>985</v>
      </c>
      <c r="F48" s="11">
        <v>81720</v>
      </c>
      <c r="G48" s="10">
        <v>5066.6400000000003</v>
      </c>
      <c r="H48" s="10">
        <v>86786.64</v>
      </c>
      <c r="I48" s="9" t="s">
        <v>17</v>
      </c>
      <c r="J48" s="9" t="s">
        <v>10</v>
      </c>
      <c r="K48" s="4">
        <v>6.2E-2</v>
      </c>
      <c r="L48" t="str">
        <f>IF(pg_1[[#This Row],[Salary]]&gt;=90000, "Met minimum", "Not met minimum")</f>
        <v>Not met minimum</v>
      </c>
    </row>
    <row r="49" spans="1:12" x14ac:dyDescent="0.25">
      <c r="A49" s="8">
        <v>48</v>
      </c>
      <c r="B49" s="9" t="s">
        <v>80</v>
      </c>
      <c r="C49" s="9" t="s">
        <v>7</v>
      </c>
      <c r="D49" s="9" t="s">
        <v>27</v>
      </c>
      <c r="E49" t="s">
        <v>985</v>
      </c>
      <c r="F49" s="11">
        <v>84470</v>
      </c>
      <c r="G49" s="10">
        <v>2280.69</v>
      </c>
      <c r="H49" s="10">
        <v>86750.69</v>
      </c>
      <c r="I49" s="9" t="s">
        <v>9</v>
      </c>
      <c r="J49" s="9" t="s">
        <v>28</v>
      </c>
      <c r="K49" s="4">
        <v>2.7E-2</v>
      </c>
      <c r="L49" t="str">
        <f>IF(pg_1[[#This Row],[Salary]]&gt;=90000, "Met minimum", "Not met minimum")</f>
        <v>Not met minimum</v>
      </c>
    </row>
    <row r="50" spans="1:12" x14ac:dyDescent="0.25">
      <c r="A50" s="8">
        <v>49</v>
      </c>
      <c r="B50" s="9" t="s">
        <v>81</v>
      </c>
      <c r="C50" s="9" t="s">
        <v>12</v>
      </c>
      <c r="D50" s="9" t="s">
        <v>67</v>
      </c>
      <c r="E50" t="s">
        <v>991</v>
      </c>
      <c r="F50" s="11">
        <v>114600</v>
      </c>
      <c r="G50" s="10">
        <v>6646.8</v>
      </c>
      <c r="H50" s="10">
        <v>121246.8</v>
      </c>
      <c r="I50" s="9" t="s">
        <v>9</v>
      </c>
      <c r="J50" s="9" t="s">
        <v>14</v>
      </c>
      <c r="K50" s="4">
        <v>5.8000000000000003E-2</v>
      </c>
      <c r="L50" t="str">
        <f>IF(pg_1[[#This Row],[Salary]]&gt;=90000, "Met minimum", "Not met minimum")</f>
        <v>Met minimum</v>
      </c>
    </row>
    <row r="51" spans="1:12" x14ac:dyDescent="0.25">
      <c r="A51" s="8">
        <v>50</v>
      </c>
      <c r="B51" s="9" t="s">
        <v>82</v>
      </c>
      <c r="C51" s="9" t="s">
        <v>7</v>
      </c>
      <c r="D51" s="9" t="s">
        <v>42</v>
      </c>
      <c r="E51" t="s">
        <v>991</v>
      </c>
      <c r="F51" s="11">
        <v>114690</v>
      </c>
      <c r="G51" s="10">
        <v>573.45000000000005</v>
      </c>
      <c r="H51" s="10">
        <v>115263.45</v>
      </c>
      <c r="I51" s="9" t="s">
        <v>9</v>
      </c>
      <c r="J51" s="9" t="s">
        <v>51</v>
      </c>
      <c r="K51" s="4">
        <v>5.0000000000000001E-3</v>
      </c>
      <c r="L51" t="str">
        <f>IF(pg_1[[#This Row],[Salary]]&gt;=90000, "Met minimum", "Not met minimum")</f>
        <v>Met minimum</v>
      </c>
    </row>
    <row r="52" spans="1:12" x14ac:dyDescent="0.25">
      <c r="A52" s="8">
        <v>51</v>
      </c>
      <c r="B52" s="9" t="s">
        <v>83</v>
      </c>
      <c r="C52" s="9" t="s">
        <v>7</v>
      </c>
      <c r="D52" s="9" t="s">
        <v>13</v>
      </c>
      <c r="E52" t="s">
        <v>987</v>
      </c>
      <c r="F52" s="11">
        <v>57350</v>
      </c>
      <c r="G52" s="10">
        <v>2466.0499999999997</v>
      </c>
      <c r="H52" s="10">
        <v>59816.05</v>
      </c>
      <c r="I52" s="9" t="s">
        <v>21</v>
      </c>
      <c r="J52" s="9" t="s">
        <v>14</v>
      </c>
      <c r="K52" s="4">
        <v>4.2999999999999997E-2</v>
      </c>
      <c r="L52" t="str">
        <f>IF(pg_1[[#This Row],[Salary]]&gt;=90000, "Met minimum", "Not met minimum")</f>
        <v>Not met minimum</v>
      </c>
    </row>
    <row r="53" spans="1:12" x14ac:dyDescent="0.25">
      <c r="A53" s="8">
        <v>52</v>
      </c>
      <c r="B53" s="9" t="s">
        <v>84</v>
      </c>
      <c r="C53" s="9" t="s">
        <v>12</v>
      </c>
      <c r="D53" s="9" t="s">
        <v>53</v>
      </c>
      <c r="E53" t="s">
        <v>987</v>
      </c>
      <c r="F53" s="11">
        <v>51200</v>
      </c>
      <c r="G53" s="10">
        <v>614.4</v>
      </c>
      <c r="H53" s="10">
        <v>51814.400000000001</v>
      </c>
      <c r="I53" s="9" t="s">
        <v>21</v>
      </c>
      <c r="J53" s="9" t="s">
        <v>24</v>
      </c>
      <c r="K53" s="4">
        <v>1.2E-2</v>
      </c>
      <c r="L53" t="str">
        <f>IF(pg_1[[#This Row],[Salary]]&gt;=90000, "Met minimum", "Not met minimum")</f>
        <v>Not met minimum</v>
      </c>
    </row>
    <row r="54" spans="1:12" x14ac:dyDescent="0.25">
      <c r="A54" s="8">
        <v>53</v>
      </c>
      <c r="B54" s="9" t="s">
        <v>85</v>
      </c>
      <c r="C54" s="9" t="s">
        <v>12</v>
      </c>
      <c r="D54" s="9" t="s">
        <v>27</v>
      </c>
      <c r="E54" t="s">
        <v>985</v>
      </c>
      <c r="F54" s="11">
        <v>85260</v>
      </c>
      <c r="G54" s="10">
        <v>1108.3799999999999</v>
      </c>
      <c r="H54" s="10">
        <v>86368.38</v>
      </c>
      <c r="I54" s="9" t="s">
        <v>9</v>
      </c>
      <c r="J54" s="9" t="s">
        <v>24</v>
      </c>
      <c r="K54" s="4">
        <v>1.2999999999999999E-2</v>
      </c>
      <c r="L54" t="str">
        <f>IF(pg_1[[#This Row],[Salary]]&gt;=90000, "Met minimum", "Not met minimum")</f>
        <v>Not met minimum</v>
      </c>
    </row>
    <row r="55" spans="1:12" x14ac:dyDescent="0.25">
      <c r="A55" s="8">
        <v>54</v>
      </c>
      <c r="B55" s="9" t="s">
        <v>86</v>
      </c>
      <c r="C55" s="9" t="s">
        <v>12</v>
      </c>
      <c r="D55" s="9" t="s">
        <v>31</v>
      </c>
      <c r="E55" t="s">
        <v>992</v>
      </c>
      <c r="F55" s="11">
        <v>71230</v>
      </c>
      <c r="G55" s="10">
        <v>356.15000000000003</v>
      </c>
      <c r="H55" s="10">
        <v>71586.149999999994</v>
      </c>
      <c r="I55" s="9" t="s">
        <v>21</v>
      </c>
      <c r="J55" s="9" t="s">
        <v>51</v>
      </c>
      <c r="K55" s="4">
        <v>5.0000000000000001E-3</v>
      </c>
      <c r="L55" t="str">
        <f>IF(pg_1[[#This Row],[Salary]]&gt;=90000, "Met minimum", "Not met minimum")</f>
        <v>Not met minimum</v>
      </c>
    </row>
    <row r="56" spans="1:12" x14ac:dyDescent="0.25">
      <c r="A56" s="8">
        <v>55</v>
      </c>
      <c r="B56" s="9" t="s">
        <v>87</v>
      </c>
      <c r="C56" s="9" t="s">
        <v>12</v>
      </c>
      <c r="D56" s="9" t="s">
        <v>37</v>
      </c>
      <c r="E56" t="s">
        <v>988</v>
      </c>
      <c r="F56" s="11">
        <v>107660</v>
      </c>
      <c r="G56" s="10">
        <v>4414.0600000000004</v>
      </c>
      <c r="H56" s="10">
        <v>112074.06</v>
      </c>
      <c r="I56" s="9" t="s">
        <v>17</v>
      </c>
      <c r="J56" s="9" t="s">
        <v>14</v>
      </c>
      <c r="K56" s="4">
        <v>4.1000000000000002E-2</v>
      </c>
      <c r="L56" t="str">
        <f>IF(pg_1[[#This Row],[Salary]]&gt;=90000, "Met minimum", "Not met minimum")</f>
        <v>Met minimum</v>
      </c>
    </row>
    <row r="57" spans="1:12" x14ac:dyDescent="0.25">
      <c r="A57" s="8">
        <v>56</v>
      </c>
      <c r="B57" s="9" t="s">
        <v>88</v>
      </c>
      <c r="C57" s="9" t="s">
        <v>12</v>
      </c>
      <c r="D57" s="9" t="s">
        <v>13</v>
      </c>
      <c r="E57" t="s">
        <v>992</v>
      </c>
      <c r="F57" s="11">
        <v>75230</v>
      </c>
      <c r="G57" s="10">
        <v>827.53</v>
      </c>
      <c r="H57" s="10">
        <v>76057.53</v>
      </c>
      <c r="I57" s="9" t="s">
        <v>21</v>
      </c>
      <c r="J57" s="9" t="s">
        <v>24</v>
      </c>
      <c r="K57" s="4">
        <v>1.0999999999999999E-2</v>
      </c>
      <c r="L57" t="str">
        <f>IF(pg_1[[#This Row],[Salary]]&gt;=90000, "Met minimum", "Not met minimum")</f>
        <v>Not met minimum</v>
      </c>
    </row>
    <row r="58" spans="1:12" x14ac:dyDescent="0.25">
      <c r="A58" s="8">
        <v>57</v>
      </c>
      <c r="B58" s="9" t="s">
        <v>89</v>
      </c>
      <c r="C58" s="9" t="s">
        <v>12</v>
      </c>
      <c r="D58" s="9" t="s">
        <v>67</v>
      </c>
      <c r="E58" t="s">
        <v>988</v>
      </c>
      <c r="F58" s="11">
        <v>108080</v>
      </c>
      <c r="G58" s="10">
        <v>3782.8</v>
      </c>
      <c r="H58" s="10">
        <v>111862.8</v>
      </c>
      <c r="I58" s="9" t="s">
        <v>17</v>
      </c>
      <c r="J58" s="9" t="s">
        <v>28</v>
      </c>
      <c r="K58" s="4">
        <v>3.5000000000000003E-2</v>
      </c>
      <c r="L58" t="str">
        <f>IF(pg_1[[#This Row],[Salary]]&gt;=90000, "Met minimum", "Not met minimum")</f>
        <v>Met minimum</v>
      </c>
    </row>
    <row r="59" spans="1:12" x14ac:dyDescent="0.25">
      <c r="A59" s="8">
        <v>58</v>
      </c>
      <c r="B59" s="9" t="s">
        <v>90</v>
      </c>
      <c r="C59" s="9" t="s">
        <v>7</v>
      </c>
      <c r="D59" s="9" t="s">
        <v>20</v>
      </c>
      <c r="E59" t="s">
        <v>993</v>
      </c>
      <c r="F59" s="11">
        <v>28480</v>
      </c>
      <c r="G59" s="10">
        <v>1537.92</v>
      </c>
      <c r="H59" s="10">
        <v>30017.919999999998</v>
      </c>
      <c r="I59" s="9" t="s">
        <v>21</v>
      </c>
      <c r="J59" s="9" t="s">
        <v>14</v>
      </c>
      <c r="K59" s="4">
        <v>5.3999999999999999E-2</v>
      </c>
      <c r="L59" t="str">
        <f>IF(pg_1[[#This Row],[Salary]]&gt;=90000, "Met minimum", "Not met minimum")</f>
        <v>Not met minimum</v>
      </c>
    </row>
    <row r="60" spans="1:12" x14ac:dyDescent="0.25">
      <c r="A60" s="8">
        <v>59</v>
      </c>
      <c r="B60" s="9" t="s">
        <v>91</v>
      </c>
      <c r="C60" s="9" t="s">
        <v>7</v>
      </c>
      <c r="D60" s="9" t="s">
        <v>23</v>
      </c>
      <c r="E60" t="s">
        <v>987</v>
      </c>
      <c r="F60" s="11">
        <v>56620</v>
      </c>
      <c r="G60" s="10">
        <v>1585.3600000000001</v>
      </c>
      <c r="H60" s="10">
        <v>58205.36</v>
      </c>
      <c r="I60" s="9" t="s">
        <v>17</v>
      </c>
      <c r="J60" s="9" t="s">
        <v>28</v>
      </c>
      <c r="K60" s="4">
        <v>2.8000000000000001E-2</v>
      </c>
      <c r="L60" t="str">
        <f>IF(pg_1[[#This Row],[Salary]]&gt;=90000, "Met minimum", "Not met minimum")</f>
        <v>Not met minimum</v>
      </c>
    </row>
    <row r="61" spans="1:12" x14ac:dyDescent="0.25">
      <c r="A61" s="8">
        <v>60</v>
      </c>
      <c r="B61" s="9" t="s">
        <v>93</v>
      </c>
      <c r="C61" s="9" t="s">
        <v>7</v>
      </c>
      <c r="D61" s="9" t="s">
        <v>8</v>
      </c>
      <c r="E61" t="s">
        <v>988</v>
      </c>
      <c r="F61" s="11">
        <v>103550</v>
      </c>
      <c r="G61" s="10">
        <v>2174.5500000000002</v>
      </c>
      <c r="H61" s="10">
        <v>105724.55</v>
      </c>
      <c r="I61" s="9" t="s">
        <v>17</v>
      </c>
      <c r="J61" s="9" t="s">
        <v>28</v>
      </c>
      <c r="K61" s="4">
        <v>2.1000000000000001E-2</v>
      </c>
      <c r="L61" t="str">
        <f>IF(pg_1[[#This Row],[Salary]]&gt;=90000, "Met minimum", "Not met minimum")</f>
        <v>Met minimum</v>
      </c>
    </row>
    <row r="62" spans="1:12" x14ac:dyDescent="0.25">
      <c r="A62" s="8">
        <v>61</v>
      </c>
      <c r="B62" s="9" t="s">
        <v>94</v>
      </c>
      <c r="C62" s="9" t="s">
        <v>12</v>
      </c>
      <c r="D62" s="9" t="s">
        <v>34</v>
      </c>
      <c r="E62" t="s">
        <v>992</v>
      </c>
      <c r="F62" s="11">
        <v>78500</v>
      </c>
      <c r="G62" s="10">
        <v>5730.5</v>
      </c>
      <c r="H62" s="10">
        <v>84230.5</v>
      </c>
      <c r="I62" s="9" t="s">
        <v>21</v>
      </c>
      <c r="J62" s="9" t="s">
        <v>10</v>
      </c>
      <c r="K62" s="4">
        <v>7.2999999999999995E-2</v>
      </c>
      <c r="L62" t="str">
        <f>IF(pg_1[[#This Row],[Salary]]&gt;=90000, "Met minimum", "Not met minimum")</f>
        <v>Not met minimum</v>
      </c>
    </row>
    <row r="63" spans="1:12" x14ac:dyDescent="0.25">
      <c r="A63" s="8">
        <v>62</v>
      </c>
      <c r="B63" s="9" t="s">
        <v>95</v>
      </c>
      <c r="C63" s="9" t="s">
        <v>7</v>
      </c>
      <c r="D63" s="9" t="s">
        <v>20</v>
      </c>
      <c r="E63" t="s">
        <v>994</v>
      </c>
      <c r="F63" s="11">
        <v>93930</v>
      </c>
      <c r="G63" s="10">
        <v>5072.22</v>
      </c>
      <c r="H63" s="10">
        <v>99002.22</v>
      </c>
      <c r="I63" s="9" t="s">
        <v>21</v>
      </c>
      <c r="J63" s="9" t="s">
        <v>14</v>
      </c>
      <c r="K63" s="4">
        <v>5.3999999999999999E-2</v>
      </c>
      <c r="L63" t="str">
        <f>IF(pg_1[[#This Row],[Salary]]&gt;=90000, "Met minimum", "Not met minimum")</f>
        <v>Met minimum</v>
      </c>
    </row>
    <row r="64" spans="1:12" x14ac:dyDescent="0.25">
      <c r="A64" s="8">
        <v>63</v>
      </c>
      <c r="B64" s="9" t="s">
        <v>98</v>
      </c>
      <c r="C64" s="9" t="s">
        <v>7</v>
      </c>
      <c r="D64" s="9" t="s">
        <v>42</v>
      </c>
      <c r="E64" t="s">
        <v>987</v>
      </c>
      <c r="F64" s="11">
        <v>55310</v>
      </c>
      <c r="G64" s="10">
        <v>276.55</v>
      </c>
      <c r="H64" s="10">
        <v>55586.55</v>
      </c>
      <c r="I64" s="9" t="s">
        <v>21</v>
      </c>
      <c r="J64" s="9" t="s">
        <v>51</v>
      </c>
      <c r="K64" s="4">
        <v>5.0000000000000001E-3</v>
      </c>
      <c r="L64" t="str">
        <f>IF(pg_1[[#This Row],[Salary]]&gt;=90000, "Met minimum", "Not met minimum")</f>
        <v>Not met minimum</v>
      </c>
    </row>
    <row r="65" spans="1:12" x14ac:dyDescent="0.25">
      <c r="A65" s="8">
        <v>64</v>
      </c>
      <c r="B65" s="9" t="s">
        <v>99</v>
      </c>
      <c r="C65" s="9" t="s">
        <v>7</v>
      </c>
      <c r="D65" s="9" t="s">
        <v>50</v>
      </c>
      <c r="E65" t="s">
        <v>989</v>
      </c>
      <c r="F65" s="11">
        <v>49670</v>
      </c>
      <c r="G65" s="10">
        <v>993.4</v>
      </c>
      <c r="H65" s="10">
        <v>50663.4</v>
      </c>
      <c r="I65" s="9" t="s">
        <v>17</v>
      </c>
      <c r="J65" s="9" t="s">
        <v>24</v>
      </c>
      <c r="K65" s="4">
        <v>0.02</v>
      </c>
      <c r="L65" t="str">
        <f>IF(pg_1[[#This Row],[Salary]]&gt;=90000, "Met minimum", "Not met minimum")</f>
        <v>Not met minimum</v>
      </c>
    </row>
    <row r="66" spans="1:12" x14ac:dyDescent="0.25">
      <c r="A66" s="8">
        <v>65</v>
      </c>
      <c r="B66" s="9" t="s">
        <v>101</v>
      </c>
      <c r="C66" s="9" t="s">
        <v>7</v>
      </c>
      <c r="D66" s="9" t="s">
        <v>37</v>
      </c>
      <c r="E66" t="s">
        <v>989</v>
      </c>
      <c r="F66" s="11">
        <v>40770</v>
      </c>
      <c r="G66" s="10">
        <v>1304.6400000000001</v>
      </c>
      <c r="H66" s="10">
        <v>42074.64</v>
      </c>
      <c r="I66" s="9" t="s">
        <v>17</v>
      </c>
      <c r="J66" s="9" t="s">
        <v>28</v>
      </c>
      <c r="K66" s="4">
        <v>3.2000000000000001E-2</v>
      </c>
      <c r="L66" t="str">
        <f>IF(pg_1[[#This Row],[Salary]]&gt;=90000, "Met minimum", "Not met minimum")</f>
        <v>Not met minimum</v>
      </c>
    </row>
    <row r="67" spans="1:12" x14ac:dyDescent="0.25">
      <c r="A67" s="8">
        <v>66</v>
      </c>
      <c r="B67" s="9" t="s">
        <v>102</v>
      </c>
      <c r="C67" s="9" t="s">
        <v>7</v>
      </c>
      <c r="D67" s="9" t="s">
        <v>37</v>
      </c>
      <c r="E67" t="s">
        <v>988</v>
      </c>
      <c r="F67" s="11">
        <v>106780</v>
      </c>
      <c r="G67" s="10">
        <v>1067.8</v>
      </c>
      <c r="H67" s="10">
        <v>107847.8</v>
      </c>
      <c r="I67" s="9" t="s">
        <v>21</v>
      </c>
      <c r="J67" s="9" t="s">
        <v>24</v>
      </c>
      <c r="K67" s="4">
        <v>0.01</v>
      </c>
      <c r="L67" t="str">
        <f>IF(pg_1[[#This Row],[Salary]]&gt;=90000, "Met minimum", "Not met minimum")</f>
        <v>Met minimum</v>
      </c>
    </row>
    <row r="68" spans="1:12" x14ac:dyDescent="0.25">
      <c r="A68" s="8">
        <v>67</v>
      </c>
      <c r="B68" s="9" t="s">
        <v>103</v>
      </c>
      <c r="C68" s="9" t="s">
        <v>12</v>
      </c>
      <c r="D68" s="9" t="s">
        <v>27</v>
      </c>
      <c r="E68" t="s">
        <v>988</v>
      </c>
      <c r="F68" s="11">
        <v>100730</v>
      </c>
      <c r="G68" s="10">
        <v>2719.71</v>
      </c>
      <c r="H68" s="10">
        <v>103449.71</v>
      </c>
      <c r="I68" s="9" t="s">
        <v>21</v>
      </c>
      <c r="J68" s="9" t="s">
        <v>28</v>
      </c>
      <c r="K68" s="4">
        <v>2.7E-2</v>
      </c>
      <c r="L68" t="str">
        <f>IF(pg_1[[#This Row],[Salary]]&gt;=90000, "Met minimum", "Not met minimum")</f>
        <v>Met minimum</v>
      </c>
    </row>
    <row r="69" spans="1:12" x14ac:dyDescent="0.25">
      <c r="A69" s="8">
        <v>68</v>
      </c>
      <c r="B69" s="9" t="s">
        <v>104</v>
      </c>
      <c r="C69" s="9" t="s">
        <v>970</v>
      </c>
      <c r="D69" s="9" t="s">
        <v>31</v>
      </c>
      <c r="E69" t="s">
        <v>992</v>
      </c>
      <c r="F69" s="11">
        <v>74620</v>
      </c>
      <c r="G69" s="10">
        <v>1119.3</v>
      </c>
      <c r="H69" s="10">
        <v>75739.3</v>
      </c>
      <c r="I69" s="9" t="s">
        <v>21</v>
      </c>
      <c r="J69" s="9" t="s">
        <v>24</v>
      </c>
      <c r="K69" s="4">
        <v>1.4999999999999999E-2</v>
      </c>
      <c r="L69" t="str">
        <f>IF(pg_1[[#This Row],[Salary]]&gt;=90000, "Met minimum", "Not met minimum")</f>
        <v>Not met minimum</v>
      </c>
    </row>
    <row r="70" spans="1:12" x14ac:dyDescent="0.25">
      <c r="A70" s="8">
        <v>69</v>
      </c>
      <c r="B70" s="9" t="s">
        <v>105</v>
      </c>
      <c r="C70" s="9" t="s">
        <v>7</v>
      </c>
      <c r="D70" s="9" t="s">
        <v>37</v>
      </c>
      <c r="E70" t="s">
        <v>989</v>
      </c>
      <c r="F70" s="11">
        <v>40450</v>
      </c>
      <c r="G70" s="10">
        <v>1294.4000000000001</v>
      </c>
      <c r="H70" s="10">
        <v>41744.400000000001</v>
      </c>
      <c r="I70" s="9" t="s">
        <v>21</v>
      </c>
      <c r="J70" s="9" t="s">
        <v>28</v>
      </c>
      <c r="K70" s="4">
        <v>3.2000000000000001E-2</v>
      </c>
      <c r="L70" t="str">
        <f>IF(pg_1[[#This Row],[Salary]]&gt;=90000, "Met minimum", "Not met minimum")</f>
        <v>Not met minimum</v>
      </c>
    </row>
    <row r="71" spans="1:12" x14ac:dyDescent="0.25">
      <c r="A71" s="8">
        <v>70</v>
      </c>
      <c r="B71" s="9" t="s">
        <v>106</v>
      </c>
      <c r="C71" s="9" t="s">
        <v>7</v>
      </c>
      <c r="D71" s="9" t="s">
        <v>31</v>
      </c>
      <c r="E71" t="s">
        <v>986</v>
      </c>
      <c r="F71" s="11">
        <v>60560</v>
      </c>
      <c r="G71" s="10">
        <v>1392.8799999999999</v>
      </c>
      <c r="H71" s="10">
        <v>61952.88</v>
      </c>
      <c r="I71" s="9" t="s">
        <v>17</v>
      </c>
      <c r="J71" s="9" t="s">
        <v>28</v>
      </c>
      <c r="K71" s="4">
        <v>2.3E-2</v>
      </c>
      <c r="L71" t="str">
        <f>IF(pg_1[[#This Row],[Salary]]&gt;=90000, "Met minimum", "Not met minimum")</f>
        <v>Not met minimum</v>
      </c>
    </row>
    <row r="72" spans="1:12" x14ac:dyDescent="0.25">
      <c r="A72" s="8">
        <v>71</v>
      </c>
      <c r="B72" s="9" t="s">
        <v>107</v>
      </c>
      <c r="C72" s="9" t="s">
        <v>7</v>
      </c>
      <c r="D72" s="9" t="s">
        <v>20</v>
      </c>
      <c r="E72" t="s">
        <v>991</v>
      </c>
      <c r="F72" s="11">
        <v>114900</v>
      </c>
      <c r="G72" s="10">
        <v>2412.9</v>
      </c>
      <c r="H72" s="10">
        <v>117312.9</v>
      </c>
      <c r="I72" s="9" t="s">
        <v>21</v>
      </c>
      <c r="J72" s="9" t="s">
        <v>28</v>
      </c>
      <c r="K72" s="4">
        <v>2.1000000000000001E-2</v>
      </c>
      <c r="L72" t="str">
        <f>IF(pg_1[[#This Row],[Salary]]&gt;=90000, "Met minimum", "Not met minimum")</f>
        <v>Met minimum</v>
      </c>
    </row>
    <row r="73" spans="1:12" x14ac:dyDescent="0.25">
      <c r="A73" s="8">
        <v>72</v>
      </c>
      <c r="B73" s="9" t="s">
        <v>108</v>
      </c>
      <c r="C73" s="9" t="s">
        <v>7</v>
      </c>
      <c r="D73" s="9" t="s">
        <v>27</v>
      </c>
      <c r="E73" t="s">
        <v>986</v>
      </c>
      <c r="F73" s="11">
        <v>69860</v>
      </c>
      <c r="G73" s="10">
        <v>1886.22</v>
      </c>
      <c r="H73" s="10">
        <v>71746.22</v>
      </c>
      <c r="I73" s="9" t="s">
        <v>21</v>
      </c>
      <c r="J73" s="9" t="s">
        <v>28</v>
      </c>
      <c r="K73" s="4">
        <v>2.7E-2</v>
      </c>
      <c r="L73" t="str">
        <f>IF(pg_1[[#This Row],[Salary]]&gt;=90000, "Met minimum", "Not met minimum")</f>
        <v>Not met minimum</v>
      </c>
    </row>
    <row r="74" spans="1:12" x14ac:dyDescent="0.25">
      <c r="A74" s="8">
        <v>73</v>
      </c>
      <c r="B74" s="9" t="s">
        <v>109</v>
      </c>
      <c r="C74" s="9" t="s">
        <v>12</v>
      </c>
      <c r="D74" s="9" t="s">
        <v>31</v>
      </c>
      <c r="E74" t="s">
        <v>987</v>
      </c>
      <c r="F74" s="11">
        <v>51320</v>
      </c>
      <c r="G74" s="10">
        <v>256.60000000000002</v>
      </c>
      <c r="H74" s="10">
        <v>51576.6</v>
      </c>
      <c r="I74" s="9" t="s">
        <v>21</v>
      </c>
      <c r="J74" s="9" t="s">
        <v>51</v>
      </c>
      <c r="K74" s="4">
        <v>5.0000000000000001E-3</v>
      </c>
      <c r="L74" t="str">
        <f>IF(pg_1[[#This Row],[Salary]]&gt;=90000, "Met minimum", "Not met minimum")</f>
        <v>Not met minimum</v>
      </c>
    </row>
    <row r="75" spans="1:12" x14ac:dyDescent="0.25">
      <c r="A75" s="8">
        <v>74</v>
      </c>
      <c r="B75" s="9" t="s">
        <v>110</v>
      </c>
      <c r="C75" s="9" t="s">
        <v>7</v>
      </c>
      <c r="D75" s="9" t="s">
        <v>42</v>
      </c>
      <c r="E75" t="s">
        <v>988</v>
      </c>
      <c r="F75" s="11">
        <v>103600</v>
      </c>
      <c r="G75" s="10">
        <v>6112.4</v>
      </c>
      <c r="H75" s="10">
        <v>109712.4</v>
      </c>
      <c r="I75" s="9" t="s">
        <v>9</v>
      </c>
      <c r="J75" s="9" t="s">
        <v>14</v>
      </c>
      <c r="K75" s="4">
        <v>5.8999999999999997E-2</v>
      </c>
      <c r="L75" t="str">
        <f>IF(pg_1[[#This Row],[Salary]]&gt;=90000, "Met minimum", "Not met minimum")</f>
        <v>Met minimum</v>
      </c>
    </row>
    <row r="76" spans="1:12" x14ac:dyDescent="0.25">
      <c r="A76" s="8">
        <v>75</v>
      </c>
      <c r="B76" s="9" t="s">
        <v>111</v>
      </c>
      <c r="C76" s="9" t="s">
        <v>7</v>
      </c>
      <c r="D76" s="9" t="s">
        <v>67</v>
      </c>
      <c r="E76" t="s">
        <v>987</v>
      </c>
      <c r="F76" s="11">
        <v>53540</v>
      </c>
      <c r="G76" s="10">
        <v>696.02</v>
      </c>
      <c r="H76" s="10">
        <v>54236.02</v>
      </c>
      <c r="I76" s="9" t="s">
        <v>21</v>
      </c>
      <c r="J76" s="9" t="s">
        <v>24</v>
      </c>
      <c r="K76" s="4">
        <v>1.2999999999999999E-2</v>
      </c>
      <c r="L76" t="str">
        <f>IF(pg_1[[#This Row],[Salary]]&gt;=90000, "Met minimum", "Not met minimum")</f>
        <v>Not met minimum</v>
      </c>
    </row>
    <row r="77" spans="1:12" x14ac:dyDescent="0.25">
      <c r="A77" s="8">
        <v>76</v>
      </c>
      <c r="B77" s="9" t="s">
        <v>112</v>
      </c>
      <c r="C77" s="9" t="s">
        <v>12</v>
      </c>
      <c r="D77" s="9" t="s">
        <v>8</v>
      </c>
      <c r="E77" t="s">
        <v>994</v>
      </c>
      <c r="F77" s="11">
        <v>98740</v>
      </c>
      <c r="G77" s="10">
        <v>1184.8800000000001</v>
      </c>
      <c r="H77" s="10">
        <v>99924.88</v>
      </c>
      <c r="I77" s="9" t="s">
        <v>17</v>
      </c>
      <c r="J77" s="9" t="s">
        <v>24</v>
      </c>
      <c r="K77" s="4">
        <v>1.2E-2</v>
      </c>
      <c r="L77" t="str">
        <f>IF(pg_1[[#This Row],[Salary]]&gt;=90000, "Met minimum", "Not met minimum")</f>
        <v>Met minimum</v>
      </c>
    </row>
    <row r="78" spans="1:12" x14ac:dyDescent="0.25">
      <c r="A78" s="8">
        <v>77</v>
      </c>
      <c r="B78" s="9" t="s">
        <v>113</v>
      </c>
      <c r="C78" s="9" t="s">
        <v>7</v>
      </c>
      <c r="D78" s="9" t="s">
        <v>23</v>
      </c>
      <c r="E78" t="s">
        <v>991</v>
      </c>
      <c r="F78" s="11">
        <v>115090</v>
      </c>
      <c r="G78" s="10">
        <v>3222.52</v>
      </c>
      <c r="H78" s="10">
        <v>118312.52</v>
      </c>
      <c r="I78" s="9" t="s">
        <v>21</v>
      </c>
      <c r="J78" s="9" t="s">
        <v>28</v>
      </c>
      <c r="K78" s="4">
        <v>2.8000000000000001E-2</v>
      </c>
      <c r="L78" t="str">
        <f>IF(pg_1[[#This Row],[Salary]]&gt;=90000, "Met minimum", "Not met minimum")</f>
        <v>Met minimum</v>
      </c>
    </row>
    <row r="79" spans="1:12" x14ac:dyDescent="0.25">
      <c r="A79" s="8">
        <v>78</v>
      </c>
      <c r="B79" s="9" t="s">
        <v>114</v>
      </c>
      <c r="C79" s="9" t="s">
        <v>7</v>
      </c>
      <c r="D79" s="9" t="s">
        <v>67</v>
      </c>
      <c r="E79" t="s">
        <v>987</v>
      </c>
      <c r="F79" s="11">
        <v>51910</v>
      </c>
      <c r="G79" s="10">
        <v>3010.78</v>
      </c>
      <c r="H79" s="10">
        <v>54920.78</v>
      </c>
      <c r="I79" s="9" t="s">
        <v>21</v>
      </c>
      <c r="J79" s="9" t="s">
        <v>14</v>
      </c>
      <c r="K79" s="4">
        <v>5.8000000000000003E-2</v>
      </c>
      <c r="L79" t="str">
        <f>IF(pg_1[[#This Row],[Salary]]&gt;=90000, "Met minimum", "Not met minimum")</f>
        <v>Not met minimum</v>
      </c>
    </row>
    <row r="80" spans="1:12" x14ac:dyDescent="0.25">
      <c r="A80" s="8">
        <v>79</v>
      </c>
      <c r="B80" s="9" t="s">
        <v>115</v>
      </c>
      <c r="C80" s="9" t="s">
        <v>7</v>
      </c>
      <c r="D80" s="9" t="s">
        <v>53</v>
      </c>
      <c r="E80" t="s">
        <v>990</v>
      </c>
      <c r="F80" s="11">
        <v>34080</v>
      </c>
      <c r="G80" s="10">
        <v>0</v>
      </c>
      <c r="H80" s="10">
        <v>34080</v>
      </c>
      <c r="I80" s="9" t="s">
        <v>21</v>
      </c>
      <c r="J80" s="9" t="s">
        <v>18</v>
      </c>
      <c r="K80" s="4">
        <v>0</v>
      </c>
      <c r="L80" t="str">
        <f>IF(pg_1[[#This Row],[Salary]]&gt;=90000, "Met minimum", "Not met minimum")</f>
        <v>Not met minimum</v>
      </c>
    </row>
    <row r="81" spans="1:12" x14ac:dyDescent="0.25">
      <c r="A81" s="8">
        <v>80</v>
      </c>
      <c r="B81" s="9" t="s">
        <v>116</v>
      </c>
      <c r="C81" s="9" t="s">
        <v>7</v>
      </c>
      <c r="D81" s="9" t="s">
        <v>31</v>
      </c>
      <c r="E81" t="s">
        <v>985</v>
      </c>
      <c r="F81" s="11">
        <v>88690</v>
      </c>
      <c r="G81" s="10">
        <v>1330.35</v>
      </c>
      <c r="H81" s="10">
        <v>90020.35</v>
      </c>
      <c r="I81" s="9" t="s">
        <v>9</v>
      </c>
      <c r="J81" s="9" t="s">
        <v>24</v>
      </c>
      <c r="K81" s="4">
        <v>1.4999999999999999E-2</v>
      </c>
      <c r="L81" t="str">
        <f>IF(pg_1[[#This Row],[Salary]]&gt;=90000, "Met minimum", "Not met minimum")</f>
        <v>Not met minimum</v>
      </c>
    </row>
    <row r="82" spans="1:12" x14ac:dyDescent="0.25">
      <c r="A82" s="8">
        <v>81</v>
      </c>
      <c r="B82" s="9" t="s">
        <v>117</v>
      </c>
      <c r="C82" s="9" t="s">
        <v>12</v>
      </c>
      <c r="D82" s="9" t="s">
        <v>27</v>
      </c>
      <c r="E82" t="s">
        <v>990</v>
      </c>
      <c r="F82" s="11">
        <v>35940</v>
      </c>
      <c r="G82" s="10">
        <v>970.38</v>
      </c>
      <c r="H82" s="10">
        <v>36910.379999999997</v>
      </c>
      <c r="I82" s="9" t="s">
        <v>21</v>
      </c>
      <c r="J82" s="9" t="s">
        <v>28</v>
      </c>
      <c r="K82" s="4">
        <v>2.7E-2</v>
      </c>
      <c r="L82" t="str">
        <f>IF(pg_1[[#This Row],[Salary]]&gt;=90000, "Met minimum", "Not met minimum")</f>
        <v>Not met minimum</v>
      </c>
    </row>
    <row r="83" spans="1:12" x14ac:dyDescent="0.25">
      <c r="A83" s="8">
        <v>82</v>
      </c>
      <c r="B83" s="9" t="s">
        <v>118</v>
      </c>
      <c r="C83" s="9" t="s">
        <v>7</v>
      </c>
      <c r="D83" s="9" t="s">
        <v>20</v>
      </c>
      <c r="E83" t="s">
        <v>988</v>
      </c>
      <c r="F83" s="11">
        <v>109190</v>
      </c>
      <c r="G83" s="10">
        <v>2292.9900000000002</v>
      </c>
      <c r="H83" s="10">
        <v>111482.99</v>
      </c>
      <c r="I83" s="9" t="s">
        <v>17</v>
      </c>
      <c r="J83" s="9" t="s">
        <v>28</v>
      </c>
      <c r="K83" s="4">
        <v>2.1000000000000001E-2</v>
      </c>
      <c r="L83" t="str">
        <f>IF(pg_1[[#This Row],[Salary]]&gt;=90000, "Met minimum", "Not met minimum")</f>
        <v>Met minimum</v>
      </c>
    </row>
    <row r="84" spans="1:12" x14ac:dyDescent="0.25">
      <c r="A84" s="8">
        <v>83</v>
      </c>
      <c r="B84" s="9" t="s">
        <v>119</v>
      </c>
      <c r="C84" s="9" t="s">
        <v>7</v>
      </c>
      <c r="D84" s="9" t="s">
        <v>67</v>
      </c>
      <c r="E84" t="s">
        <v>985</v>
      </c>
      <c r="F84" s="11">
        <v>89610</v>
      </c>
      <c r="G84" s="10">
        <v>5197.38</v>
      </c>
      <c r="H84" s="10">
        <v>94807.38</v>
      </c>
      <c r="I84" s="9" t="s">
        <v>9</v>
      </c>
      <c r="J84" s="9" t="s">
        <v>14</v>
      </c>
      <c r="K84" s="4">
        <v>5.8000000000000003E-2</v>
      </c>
      <c r="L84" t="str">
        <f>IF(pg_1[[#This Row],[Salary]]&gt;=90000, "Met minimum", "Not met minimum")</f>
        <v>Not met minimum</v>
      </c>
    </row>
    <row r="85" spans="1:12" x14ac:dyDescent="0.25">
      <c r="A85" s="8">
        <v>84</v>
      </c>
      <c r="B85" s="9" t="s">
        <v>120</v>
      </c>
      <c r="C85" s="9" t="s">
        <v>12</v>
      </c>
      <c r="D85" s="9" t="s">
        <v>23</v>
      </c>
      <c r="E85" t="s">
        <v>988</v>
      </c>
      <c r="F85" s="11">
        <v>109760</v>
      </c>
      <c r="G85" s="10">
        <v>5378.24</v>
      </c>
      <c r="H85" s="10">
        <v>115138.24000000001</v>
      </c>
      <c r="I85" s="9" t="s">
        <v>17</v>
      </c>
      <c r="J85" s="9" t="s">
        <v>14</v>
      </c>
      <c r="K85" s="4">
        <v>4.9000000000000002E-2</v>
      </c>
      <c r="L85" t="str">
        <f>IF(pg_1[[#This Row],[Salary]]&gt;=90000, "Met minimum", "Not met minimum")</f>
        <v>Met minimum</v>
      </c>
    </row>
    <row r="86" spans="1:12" x14ac:dyDescent="0.25">
      <c r="A86" s="8">
        <v>85</v>
      </c>
      <c r="B86" s="9" t="s">
        <v>121</v>
      </c>
      <c r="C86" s="9" t="s">
        <v>12</v>
      </c>
      <c r="D86" s="9" t="s">
        <v>67</v>
      </c>
      <c r="E86" t="s">
        <v>988</v>
      </c>
      <c r="F86" s="11">
        <v>108390</v>
      </c>
      <c r="G86" s="10">
        <v>1409.07</v>
      </c>
      <c r="H86" s="10">
        <v>109799.07</v>
      </c>
      <c r="I86" s="9" t="s">
        <v>9</v>
      </c>
      <c r="J86" s="9" t="s">
        <v>24</v>
      </c>
      <c r="K86" s="4">
        <v>1.2999999999999999E-2</v>
      </c>
      <c r="L86" t="str">
        <f>IF(pg_1[[#This Row],[Salary]]&gt;=90000, "Met minimum", "Not met minimum")</f>
        <v>Met minimum</v>
      </c>
    </row>
    <row r="87" spans="1:12" x14ac:dyDescent="0.25">
      <c r="A87" s="8">
        <v>86</v>
      </c>
      <c r="B87" s="9" t="s">
        <v>122</v>
      </c>
      <c r="C87" s="9" t="s">
        <v>7</v>
      </c>
      <c r="D87" s="9" t="s">
        <v>50</v>
      </c>
      <c r="E87" t="s">
        <v>993</v>
      </c>
      <c r="F87" s="11">
        <v>29880</v>
      </c>
      <c r="G87" s="10">
        <v>149.4</v>
      </c>
      <c r="H87" s="10">
        <v>30029.4</v>
      </c>
      <c r="I87" s="9" t="s">
        <v>9</v>
      </c>
      <c r="J87" s="9" t="s">
        <v>51</v>
      </c>
      <c r="K87" s="4">
        <v>5.0000000000000001E-3</v>
      </c>
      <c r="L87" t="str">
        <f>IF(pg_1[[#This Row],[Salary]]&gt;=90000, "Met minimum", "Not met minimum")</f>
        <v>Not met minimum</v>
      </c>
    </row>
    <row r="88" spans="1:12" x14ac:dyDescent="0.25">
      <c r="A88" s="8">
        <v>87</v>
      </c>
      <c r="B88" s="9" t="s">
        <v>123</v>
      </c>
      <c r="C88" s="9" t="s">
        <v>7</v>
      </c>
      <c r="D88" s="9" t="s">
        <v>23</v>
      </c>
      <c r="E88" t="s">
        <v>986</v>
      </c>
      <c r="F88" s="11">
        <v>68090</v>
      </c>
      <c r="G88" s="10">
        <v>1906.52</v>
      </c>
      <c r="H88" s="10">
        <v>69996.52</v>
      </c>
      <c r="I88" s="9" t="s">
        <v>21</v>
      </c>
      <c r="J88" s="9" t="s">
        <v>28</v>
      </c>
      <c r="K88" s="4">
        <v>2.8000000000000001E-2</v>
      </c>
      <c r="L88" t="str">
        <f>IF(pg_1[[#This Row],[Salary]]&gt;=90000, "Met minimum", "Not met minimum")</f>
        <v>Not met minimum</v>
      </c>
    </row>
    <row r="89" spans="1:12" x14ac:dyDescent="0.25">
      <c r="A89" s="8">
        <v>88</v>
      </c>
      <c r="B89" s="9" t="s">
        <v>124</v>
      </c>
      <c r="C89" s="9" t="s">
        <v>12</v>
      </c>
      <c r="D89" s="9" t="s">
        <v>31</v>
      </c>
      <c r="E89" t="s">
        <v>985</v>
      </c>
      <c r="F89" s="11">
        <v>87210</v>
      </c>
      <c r="G89" s="10">
        <v>0</v>
      </c>
      <c r="H89" s="10">
        <v>87210</v>
      </c>
      <c r="I89" s="9" t="s">
        <v>17</v>
      </c>
      <c r="J89" s="9" t="s">
        <v>18</v>
      </c>
      <c r="K89" s="4">
        <v>0</v>
      </c>
      <c r="L89" t="str">
        <f>IF(pg_1[[#This Row],[Salary]]&gt;=90000, "Met minimum", "Not met minimum")</f>
        <v>Not met minimum</v>
      </c>
    </row>
    <row r="90" spans="1:12" x14ac:dyDescent="0.25">
      <c r="A90" s="8">
        <v>89</v>
      </c>
      <c r="B90" s="9" t="s">
        <v>125</v>
      </c>
      <c r="C90" s="9" t="s">
        <v>7</v>
      </c>
      <c r="D90" s="9" t="s">
        <v>13</v>
      </c>
      <c r="E90" t="s">
        <v>994</v>
      </c>
      <c r="F90" s="11">
        <v>90800</v>
      </c>
      <c r="G90" s="10">
        <v>3178.0000000000005</v>
      </c>
      <c r="H90" s="10">
        <v>93978</v>
      </c>
      <c r="I90" s="9" t="s">
        <v>17</v>
      </c>
      <c r="J90" s="9" t="s">
        <v>28</v>
      </c>
      <c r="K90" s="4">
        <v>3.5000000000000003E-2</v>
      </c>
      <c r="L90" t="str">
        <f>IF(pg_1[[#This Row],[Salary]]&gt;=90000, "Met minimum", "Not met minimum")</f>
        <v>Met minimum</v>
      </c>
    </row>
    <row r="91" spans="1:12" x14ac:dyDescent="0.25">
      <c r="A91" s="8">
        <v>90</v>
      </c>
      <c r="B91" s="9" t="s">
        <v>126</v>
      </c>
      <c r="C91" s="9" t="s">
        <v>12</v>
      </c>
      <c r="D91" s="9" t="s">
        <v>42</v>
      </c>
      <c r="E91" t="s">
        <v>988</v>
      </c>
      <c r="F91" s="11">
        <v>102930</v>
      </c>
      <c r="G91" s="10">
        <v>6072.87</v>
      </c>
      <c r="H91" s="10">
        <v>109002.87</v>
      </c>
      <c r="I91" s="9" t="s">
        <v>21</v>
      </c>
      <c r="J91" s="9" t="s">
        <v>14</v>
      </c>
      <c r="K91" s="4">
        <v>5.8999999999999997E-2</v>
      </c>
      <c r="L91" t="str">
        <f>IF(pg_1[[#This Row],[Salary]]&gt;=90000, "Met minimum", "Not met minimum")</f>
        <v>Met minimum</v>
      </c>
    </row>
    <row r="92" spans="1:12" x14ac:dyDescent="0.25">
      <c r="A92" s="8">
        <v>91</v>
      </c>
      <c r="B92" s="9" t="s">
        <v>128</v>
      </c>
      <c r="C92" s="9" t="s">
        <v>12</v>
      </c>
      <c r="D92" s="9" t="s">
        <v>37</v>
      </c>
      <c r="E92" t="s">
        <v>993</v>
      </c>
      <c r="F92" s="11">
        <v>29080</v>
      </c>
      <c r="G92" s="10">
        <v>930.56000000000006</v>
      </c>
      <c r="H92" s="10">
        <v>30010.560000000001</v>
      </c>
      <c r="I92" s="9" t="s">
        <v>21</v>
      </c>
      <c r="J92" s="9" t="s">
        <v>28</v>
      </c>
      <c r="K92" s="4">
        <v>3.2000000000000001E-2</v>
      </c>
      <c r="L92" t="str">
        <f>IF(pg_1[[#This Row],[Salary]]&gt;=90000, "Met minimum", "Not met minimum")</f>
        <v>Not met minimum</v>
      </c>
    </row>
    <row r="93" spans="1:12" x14ac:dyDescent="0.25">
      <c r="A93" s="8">
        <v>92</v>
      </c>
      <c r="B93" s="9" t="s">
        <v>129</v>
      </c>
      <c r="C93" s="9" t="s">
        <v>12</v>
      </c>
      <c r="D93" s="9" t="s">
        <v>50</v>
      </c>
      <c r="E93" t="s">
        <v>989</v>
      </c>
      <c r="F93" s="11">
        <v>44450</v>
      </c>
      <c r="G93" s="10">
        <v>3733.8</v>
      </c>
      <c r="H93" s="10">
        <v>48183.8</v>
      </c>
      <c r="I93" s="9" t="s">
        <v>17</v>
      </c>
      <c r="J93" s="9" t="s">
        <v>10</v>
      </c>
      <c r="K93" s="4">
        <v>8.4000000000000005E-2</v>
      </c>
      <c r="L93" t="str">
        <f>IF(pg_1[[#This Row],[Salary]]&gt;=90000, "Met minimum", "Not met minimum")</f>
        <v>Not met minimum</v>
      </c>
    </row>
    <row r="94" spans="1:12" x14ac:dyDescent="0.25">
      <c r="A94" s="8">
        <v>93</v>
      </c>
      <c r="B94" s="9" t="s">
        <v>130</v>
      </c>
      <c r="C94" s="9" t="s">
        <v>12</v>
      </c>
      <c r="D94" s="9" t="s">
        <v>31</v>
      </c>
      <c r="E94" t="s">
        <v>994</v>
      </c>
      <c r="F94" s="11">
        <v>97120</v>
      </c>
      <c r="G94" s="10">
        <v>2233.7599999999998</v>
      </c>
      <c r="H94" s="10">
        <v>99353.76</v>
      </c>
      <c r="I94" s="9" t="s">
        <v>21</v>
      </c>
      <c r="J94" s="9" t="s">
        <v>28</v>
      </c>
      <c r="K94" s="4">
        <v>2.3E-2</v>
      </c>
      <c r="L94" t="str">
        <f>IF(pg_1[[#This Row],[Salary]]&gt;=90000, "Met minimum", "Not met minimum")</f>
        <v>Met minimum</v>
      </c>
    </row>
    <row r="95" spans="1:12" x14ac:dyDescent="0.25">
      <c r="A95" s="8">
        <v>94</v>
      </c>
      <c r="B95" s="9" t="s">
        <v>131</v>
      </c>
      <c r="C95" s="9" t="s">
        <v>7</v>
      </c>
      <c r="D95" s="9" t="s">
        <v>23</v>
      </c>
      <c r="E95" t="s">
        <v>987</v>
      </c>
      <c r="F95" s="11">
        <v>58840</v>
      </c>
      <c r="G95" s="10">
        <v>1647.52</v>
      </c>
      <c r="H95" s="10">
        <v>60487.519999999997</v>
      </c>
      <c r="I95" s="9" t="s">
        <v>17</v>
      </c>
      <c r="J95" s="9" t="s">
        <v>28</v>
      </c>
      <c r="K95" s="4">
        <v>2.8000000000000001E-2</v>
      </c>
      <c r="L95" t="str">
        <f>IF(pg_1[[#This Row],[Salary]]&gt;=90000, "Met minimum", "Not met minimum")</f>
        <v>Not met minimum</v>
      </c>
    </row>
    <row r="96" spans="1:12" x14ac:dyDescent="0.25">
      <c r="A96" s="8">
        <v>95</v>
      </c>
      <c r="B96" s="9" t="s">
        <v>132</v>
      </c>
      <c r="C96" s="9" t="s">
        <v>12</v>
      </c>
      <c r="D96" s="9" t="s">
        <v>34</v>
      </c>
      <c r="E96" t="s">
        <v>992</v>
      </c>
      <c r="F96" s="11">
        <v>77060</v>
      </c>
      <c r="G96" s="10">
        <v>3853</v>
      </c>
      <c r="H96" s="10">
        <v>80913</v>
      </c>
      <c r="I96" s="9" t="s">
        <v>21</v>
      </c>
      <c r="J96" s="9" t="s">
        <v>14</v>
      </c>
      <c r="K96" s="4">
        <v>0.05</v>
      </c>
      <c r="L96" t="str">
        <f>IF(pg_1[[#This Row],[Salary]]&gt;=90000, "Met minimum", "Not met minimum")</f>
        <v>Not met minimum</v>
      </c>
    </row>
    <row r="97" spans="1:12" x14ac:dyDescent="0.25">
      <c r="A97" s="8">
        <v>96</v>
      </c>
      <c r="B97" s="9" t="s">
        <v>134</v>
      </c>
      <c r="C97" s="9" t="s">
        <v>7</v>
      </c>
      <c r="D97" s="9" t="s">
        <v>23</v>
      </c>
      <c r="E97" t="s">
        <v>994</v>
      </c>
      <c r="F97" s="11">
        <v>90080</v>
      </c>
      <c r="G97" s="10">
        <v>2522.2400000000002</v>
      </c>
      <c r="H97" s="10">
        <v>92602.240000000005</v>
      </c>
      <c r="I97" s="9" t="s">
        <v>21</v>
      </c>
      <c r="J97" s="9" t="s">
        <v>28</v>
      </c>
      <c r="K97" s="4">
        <v>2.8000000000000001E-2</v>
      </c>
      <c r="L97" t="str">
        <f>IF(pg_1[[#This Row],[Salary]]&gt;=90000, "Met minimum", "Not met minimum")</f>
        <v>Met minimum</v>
      </c>
    </row>
    <row r="98" spans="1:12" x14ac:dyDescent="0.25">
      <c r="A98" s="8">
        <v>97</v>
      </c>
      <c r="B98" s="9" t="s">
        <v>136</v>
      </c>
      <c r="C98" s="9" t="s">
        <v>7</v>
      </c>
      <c r="D98" s="9" t="s">
        <v>37</v>
      </c>
      <c r="E98" t="s">
        <v>990</v>
      </c>
      <c r="F98" s="11">
        <v>35830</v>
      </c>
      <c r="G98" s="10">
        <v>1146.56</v>
      </c>
      <c r="H98" s="10">
        <v>36976.559999999998</v>
      </c>
      <c r="I98" s="9" t="s">
        <v>21</v>
      </c>
      <c r="J98" s="9" t="s">
        <v>28</v>
      </c>
      <c r="K98" s="4">
        <v>3.2000000000000001E-2</v>
      </c>
      <c r="L98" t="str">
        <f>IF(pg_1[[#This Row],[Salary]]&gt;=90000, "Met minimum", "Not met minimum")</f>
        <v>Not met minimum</v>
      </c>
    </row>
    <row r="99" spans="1:12" x14ac:dyDescent="0.25">
      <c r="A99" s="8">
        <v>98</v>
      </c>
      <c r="B99" s="9" t="s">
        <v>137</v>
      </c>
      <c r="C99" s="9" t="s">
        <v>7</v>
      </c>
      <c r="D99" s="9" t="s">
        <v>20</v>
      </c>
      <c r="E99" t="s">
        <v>990</v>
      </c>
      <c r="F99" s="11">
        <v>37110</v>
      </c>
      <c r="G99" s="10">
        <v>779.31000000000006</v>
      </c>
      <c r="H99" s="10">
        <v>37889.31</v>
      </c>
      <c r="I99" s="9" t="s">
        <v>21</v>
      </c>
      <c r="J99" s="9" t="s">
        <v>28</v>
      </c>
      <c r="K99" s="4">
        <v>2.1000000000000001E-2</v>
      </c>
      <c r="L99" t="str">
        <f>IF(pg_1[[#This Row],[Salary]]&gt;=90000, "Met minimum", "Not met minimum")</f>
        <v>Not met minimum</v>
      </c>
    </row>
    <row r="100" spans="1:12" x14ac:dyDescent="0.25">
      <c r="A100" s="8">
        <v>99</v>
      </c>
      <c r="B100" s="9" t="s">
        <v>138</v>
      </c>
      <c r="C100" s="9" t="s">
        <v>7</v>
      </c>
      <c r="D100" s="9" t="s">
        <v>42</v>
      </c>
      <c r="E100" t="s">
        <v>991</v>
      </c>
      <c r="F100" s="11">
        <v>112780</v>
      </c>
      <c r="G100" s="10">
        <v>2142.8200000000002</v>
      </c>
      <c r="H100" s="10">
        <v>114922.82</v>
      </c>
      <c r="I100" s="9" t="s">
        <v>17</v>
      </c>
      <c r="J100" s="9" t="s">
        <v>24</v>
      </c>
      <c r="K100" s="4">
        <v>1.9E-2</v>
      </c>
      <c r="L100" t="str">
        <f>IF(pg_1[[#This Row],[Salary]]&gt;=90000, "Met minimum", "Not met minimum")</f>
        <v>Met minimum</v>
      </c>
    </row>
    <row r="101" spans="1:12" x14ac:dyDescent="0.25">
      <c r="A101" s="8">
        <v>100</v>
      </c>
      <c r="B101" s="9" t="s">
        <v>139</v>
      </c>
      <c r="C101" s="9" t="s">
        <v>12</v>
      </c>
      <c r="D101" s="9" t="s">
        <v>13</v>
      </c>
      <c r="E101" t="s">
        <v>994</v>
      </c>
      <c r="F101" s="11">
        <v>96000</v>
      </c>
      <c r="G101" s="10">
        <v>3360.0000000000005</v>
      </c>
      <c r="H101" s="10">
        <v>99360</v>
      </c>
      <c r="I101" s="9" t="s">
        <v>21</v>
      </c>
      <c r="J101" s="9" t="s">
        <v>28</v>
      </c>
      <c r="K101" s="4">
        <v>3.5000000000000003E-2</v>
      </c>
      <c r="L101" t="str">
        <f>IF(pg_1[[#This Row],[Salary]]&gt;=90000, "Met minimum", "Not met minimum")</f>
        <v>Met minimum</v>
      </c>
    </row>
    <row r="102" spans="1:12" x14ac:dyDescent="0.25">
      <c r="A102" s="8">
        <v>101</v>
      </c>
      <c r="B102" s="9" t="s">
        <v>140</v>
      </c>
      <c r="C102" s="9" t="s">
        <v>12</v>
      </c>
      <c r="D102" s="9" t="s">
        <v>37</v>
      </c>
      <c r="E102" t="s">
        <v>991</v>
      </c>
      <c r="F102" s="11">
        <v>112550</v>
      </c>
      <c r="G102" s="10">
        <v>3601.6</v>
      </c>
      <c r="H102" s="10">
        <v>116151.6</v>
      </c>
      <c r="I102" s="9" t="s">
        <v>21</v>
      </c>
      <c r="J102" s="9" t="s">
        <v>28</v>
      </c>
      <c r="K102" s="4">
        <v>3.2000000000000001E-2</v>
      </c>
      <c r="L102" t="str">
        <f>IF(pg_1[[#This Row],[Salary]]&gt;=90000, "Met minimum", "Not met minimum")</f>
        <v>Met minimum</v>
      </c>
    </row>
    <row r="103" spans="1:12" x14ac:dyDescent="0.25">
      <c r="A103" s="8">
        <v>102</v>
      </c>
      <c r="B103" s="9" t="s">
        <v>141</v>
      </c>
      <c r="C103" s="9" t="s">
        <v>7</v>
      </c>
      <c r="D103" s="9" t="s">
        <v>42</v>
      </c>
      <c r="E103" t="s">
        <v>985</v>
      </c>
      <c r="F103" s="11">
        <v>88330</v>
      </c>
      <c r="G103" s="10">
        <v>1678.27</v>
      </c>
      <c r="H103" s="10">
        <v>90008.27</v>
      </c>
      <c r="I103" s="9" t="s">
        <v>21</v>
      </c>
      <c r="J103" s="9" t="s">
        <v>24</v>
      </c>
      <c r="K103" s="4">
        <v>1.9E-2</v>
      </c>
      <c r="L103" t="str">
        <f>IF(pg_1[[#This Row],[Salary]]&gt;=90000, "Met minimum", "Not met minimum")</f>
        <v>Not met minimum</v>
      </c>
    </row>
    <row r="104" spans="1:12" x14ac:dyDescent="0.25">
      <c r="A104" s="8">
        <v>103</v>
      </c>
      <c r="B104" s="9" t="s">
        <v>142</v>
      </c>
      <c r="C104" s="9" t="s">
        <v>12</v>
      </c>
      <c r="D104" s="9" t="s">
        <v>42</v>
      </c>
      <c r="E104" t="s">
        <v>991</v>
      </c>
      <c r="F104" s="11">
        <v>116770</v>
      </c>
      <c r="G104" s="10">
        <v>6889.4299999999994</v>
      </c>
      <c r="H104" s="10">
        <v>123659.43</v>
      </c>
      <c r="I104" s="9" t="s">
        <v>9</v>
      </c>
      <c r="J104" s="9" t="s">
        <v>14</v>
      </c>
      <c r="K104" s="4">
        <v>5.8999999999999997E-2</v>
      </c>
      <c r="L104" t="str">
        <f>IF(pg_1[[#This Row],[Salary]]&gt;=90000, "Met minimum", "Not met minimum")</f>
        <v>Met minimum</v>
      </c>
    </row>
    <row r="105" spans="1:12" x14ac:dyDescent="0.25">
      <c r="A105" s="8">
        <v>104</v>
      </c>
      <c r="B105" s="9" t="s">
        <v>143</v>
      </c>
      <c r="C105" s="9" t="s">
        <v>7</v>
      </c>
      <c r="D105" s="9" t="s">
        <v>67</v>
      </c>
      <c r="E105" t="s">
        <v>989</v>
      </c>
      <c r="F105" s="11">
        <v>40270</v>
      </c>
      <c r="G105" s="10">
        <v>1409.45</v>
      </c>
      <c r="H105" s="10">
        <v>41679.449999999997</v>
      </c>
      <c r="I105" s="9" t="s">
        <v>21</v>
      </c>
      <c r="J105" s="9" t="s">
        <v>28</v>
      </c>
      <c r="K105" s="4">
        <v>3.5000000000000003E-2</v>
      </c>
      <c r="L105" t="str">
        <f>IF(pg_1[[#This Row],[Salary]]&gt;=90000, "Met minimum", "Not met minimum")</f>
        <v>Not met minimum</v>
      </c>
    </row>
    <row r="106" spans="1:12" x14ac:dyDescent="0.25">
      <c r="A106" s="8">
        <v>105</v>
      </c>
      <c r="B106" s="9" t="s">
        <v>145</v>
      </c>
      <c r="C106" s="9" t="s">
        <v>12</v>
      </c>
      <c r="D106" s="9" t="s">
        <v>34</v>
      </c>
      <c r="E106" t="s">
        <v>994</v>
      </c>
      <c r="F106" s="11">
        <v>96640</v>
      </c>
      <c r="G106" s="10">
        <v>7054.7199999999993</v>
      </c>
      <c r="H106" s="10">
        <v>103694.72</v>
      </c>
      <c r="I106" s="9" t="s">
        <v>21</v>
      </c>
      <c r="J106" s="9" t="s">
        <v>10</v>
      </c>
      <c r="K106" s="4">
        <v>7.2999999999999995E-2</v>
      </c>
      <c r="L106" t="str">
        <f>IF(pg_1[[#This Row],[Salary]]&gt;=90000, "Met minimum", "Not met minimum")</f>
        <v>Met minimum</v>
      </c>
    </row>
    <row r="107" spans="1:12" x14ac:dyDescent="0.25">
      <c r="A107" s="8">
        <v>106</v>
      </c>
      <c r="B107" s="9" t="s">
        <v>146</v>
      </c>
      <c r="C107" s="9" t="s">
        <v>12</v>
      </c>
      <c r="D107" s="9" t="s">
        <v>34</v>
      </c>
      <c r="E107" t="s">
        <v>991</v>
      </c>
      <c r="F107" s="11">
        <v>118100</v>
      </c>
      <c r="G107" s="10">
        <v>2834.4</v>
      </c>
      <c r="H107" s="10">
        <v>120934.39999999999</v>
      </c>
      <c r="I107" s="9" t="s">
        <v>9</v>
      </c>
      <c r="J107" s="9" t="s">
        <v>28</v>
      </c>
      <c r="K107" s="4">
        <v>2.4E-2</v>
      </c>
      <c r="L107" t="str">
        <f>IF(pg_1[[#This Row],[Salary]]&gt;=90000, "Met minimum", "Not met minimum")</f>
        <v>Met minimum</v>
      </c>
    </row>
    <row r="108" spans="1:12" x14ac:dyDescent="0.25">
      <c r="A108" s="8">
        <v>107</v>
      </c>
      <c r="B108" s="9" t="s">
        <v>147</v>
      </c>
      <c r="C108" s="9" t="s">
        <v>7</v>
      </c>
      <c r="D108" s="9" t="s">
        <v>13</v>
      </c>
      <c r="E108" t="s">
        <v>989</v>
      </c>
      <c r="F108" s="11">
        <v>43600</v>
      </c>
      <c r="G108" s="10">
        <v>1526.0000000000002</v>
      </c>
      <c r="H108" s="10">
        <v>45126</v>
      </c>
      <c r="I108" s="9" t="s">
        <v>17</v>
      </c>
      <c r="J108" s="9" t="s">
        <v>28</v>
      </c>
      <c r="K108" s="4">
        <v>3.5000000000000003E-2</v>
      </c>
      <c r="L108" t="str">
        <f>IF(pg_1[[#This Row],[Salary]]&gt;=90000, "Met minimum", "Not met minimum")</f>
        <v>Not met minimum</v>
      </c>
    </row>
    <row r="109" spans="1:12" x14ac:dyDescent="0.25">
      <c r="A109" s="8">
        <v>108</v>
      </c>
      <c r="B109" s="9" t="s">
        <v>148</v>
      </c>
      <c r="C109" s="9" t="s">
        <v>12</v>
      </c>
      <c r="D109" s="9" t="s">
        <v>20</v>
      </c>
      <c r="E109" t="s">
        <v>987</v>
      </c>
      <c r="F109" s="11">
        <v>54520</v>
      </c>
      <c r="G109" s="10">
        <v>1035.8799999999999</v>
      </c>
      <c r="H109" s="10">
        <v>55555.88</v>
      </c>
      <c r="I109" s="9" t="s">
        <v>17</v>
      </c>
      <c r="J109" s="9" t="s">
        <v>24</v>
      </c>
      <c r="K109" s="4">
        <v>1.9E-2</v>
      </c>
      <c r="L109" t="str">
        <f>IF(pg_1[[#This Row],[Salary]]&gt;=90000, "Met minimum", "Not met minimum")</f>
        <v>Not met minimum</v>
      </c>
    </row>
    <row r="110" spans="1:12" x14ac:dyDescent="0.25">
      <c r="A110" s="8">
        <v>109</v>
      </c>
      <c r="B110" s="9" t="s">
        <v>149</v>
      </c>
      <c r="C110" s="9" t="s">
        <v>12</v>
      </c>
      <c r="D110" s="9" t="s">
        <v>50</v>
      </c>
      <c r="E110" t="s">
        <v>987</v>
      </c>
      <c r="F110" s="11">
        <v>57750</v>
      </c>
      <c r="G110" s="10">
        <v>1905.75</v>
      </c>
      <c r="H110" s="10">
        <v>59655.75</v>
      </c>
      <c r="I110" s="9" t="s">
        <v>17</v>
      </c>
      <c r="J110" s="9" t="s">
        <v>28</v>
      </c>
      <c r="K110" s="4">
        <v>3.3000000000000002E-2</v>
      </c>
      <c r="L110" t="str">
        <f>IF(pg_1[[#This Row],[Salary]]&gt;=90000, "Met minimum", "Not met minimum")</f>
        <v>Not met minimum</v>
      </c>
    </row>
    <row r="111" spans="1:12" x14ac:dyDescent="0.25">
      <c r="A111" s="8">
        <v>110</v>
      </c>
      <c r="B111" s="9" t="s">
        <v>150</v>
      </c>
      <c r="C111" s="9" t="s">
        <v>12</v>
      </c>
      <c r="D111" s="9" t="s">
        <v>42</v>
      </c>
      <c r="E111" t="s">
        <v>994</v>
      </c>
      <c r="F111" s="11">
        <v>99970</v>
      </c>
      <c r="G111" s="10">
        <v>3998.8</v>
      </c>
      <c r="H111" s="10">
        <v>103968.8</v>
      </c>
      <c r="I111" s="9" t="s">
        <v>9</v>
      </c>
      <c r="J111" s="9" t="s">
        <v>28</v>
      </c>
      <c r="K111" s="4">
        <v>0.04</v>
      </c>
      <c r="L111" t="str">
        <f>IF(pg_1[[#This Row],[Salary]]&gt;=90000, "Met minimum", "Not met minimum")</f>
        <v>Met minimum</v>
      </c>
    </row>
    <row r="112" spans="1:12" x14ac:dyDescent="0.25">
      <c r="A112" s="8">
        <v>111</v>
      </c>
      <c r="B112" s="9" t="s">
        <v>151</v>
      </c>
      <c r="C112" s="9" t="s">
        <v>7</v>
      </c>
      <c r="D112" s="9" t="s">
        <v>8</v>
      </c>
      <c r="E112" t="s">
        <v>986</v>
      </c>
      <c r="F112" s="11">
        <v>62200</v>
      </c>
      <c r="G112" s="10">
        <v>5473.5999999999995</v>
      </c>
      <c r="H112" s="10">
        <v>67673.600000000006</v>
      </c>
      <c r="I112" s="9" t="s">
        <v>21</v>
      </c>
      <c r="J112" s="9" t="s">
        <v>10</v>
      </c>
      <c r="K112" s="4">
        <v>8.7999999999999995E-2</v>
      </c>
      <c r="L112" t="str">
        <f>IF(pg_1[[#This Row],[Salary]]&gt;=90000, "Met minimum", "Not met minimum")</f>
        <v>Not met minimum</v>
      </c>
    </row>
    <row r="113" spans="1:12" x14ac:dyDescent="0.25">
      <c r="A113" s="8">
        <v>112</v>
      </c>
      <c r="B113" s="9" t="s">
        <v>152</v>
      </c>
      <c r="C113" s="9" t="s">
        <v>7</v>
      </c>
      <c r="D113" s="9" t="s">
        <v>27</v>
      </c>
      <c r="E113" t="s">
        <v>989</v>
      </c>
      <c r="F113" s="11">
        <v>42990</v>
      </c>
      <c r="G113" s="10">
        <v>1160.73</v>
      </c>
      <c r="H113" s="10">
        <v>44150.73</v>
      </c>
      <c r="I113" s="9" t="s">
        <v>21</v>
      </c>
      <c r="J113" s="9" t="s">
        <v>28</v>
      </c>
      <c r="K113" s="4">
        <v>2.7E-2</v>
      </c>
      <c r="L113" t="str">
        <f>IF(pg_1[[#This Row],[Salary]]&gt;=90000, "Met minimum", "Not met minimum")</f>
        <v>Not met minimum</v>
      </c>
    </row>
    <row r="114" spans="1:12" x14ac:dyDescent="0.25">
      <c r="A114" s="8">
        <v>113</v>
      </c>
      <c r="B114" s="9" t="s">
        <v>153</v>
      </c>
      <c r="C114" s="9" t="s">
        <v>7</v>
      </c>
      <c r="D114" s="9" t="s">
        <v>23</v>
      </c>
      <c r="E114" t="s">
        <v>991</v>
      </c>
      <c r="F114" s="11">
        <v>117810</v>
      </c>
      <c r="G114" s="10">
        <v>3298.6800000000003</v>
      </c>
      <c r="H114" s="10">
        <v>121108.68</v>
      </c>
      <c r="I114" s="9" t="s">
        <v>17</v>
      </c>
      <c r="J114" s="9" t="s">
        <v>28</v>
      </c>
      <c r="K114" s="4">
        <v>2.8000000000000001E-2</v>
      </c>
      <c r="L114" t="str">
        <f>IF(pg_1[[#This Row],[Salary]]&gt;=90000, "Met minimum", "Not met minimum")</f>
        <v>Met minimum</v>
      </c>
    </row>
    <row r="115" spans="1:12" x14ac:dyDescent="0.25">
      <c r="A115" s="8">
        <v>114</v>
      </c>
      <c r="B115" s="9" t="s">
        <v>154</v>
      </c>
      <c r="C115" s="9" t="s">
        <v>7</v>
      </c>
      <c r="D115" s="9" t="s">
        <v>31</v>
      </c>
      <c r="E115" t="s">
        <v>987</v>
      </c>
      <c r="F115" s="11">
        <v>58130</v>
      </c>
      <c r="G115" s="10">
        <v>1336.99</v>
      </c>
      <c r="H115" s="10">
        <v>59466.99</v>
      </c>
      <c r="I115" s="9" t="s">
        <v>21</v>
      </c>
      <c r="J115" s="9" t="s">
        <v>28</v>
      </c>
      <c r="K115" s="4">
        <v>2.3E-2</v>
      </c>
      <c r="L115" t="str">
        <f>IF(pg_1[[#This Row],[Salary]]&gt;=90000, "Met minimum", "Not met minimum")</f>
        <v>Not met minimum</v>
      </c>
    </row>
    <row r="116" spans="1:12" x14ac:dyDescent="0.25">
      <c r="A116" s="8">
        <v>115</v>
      </c>
      <c r="B116" s="9" t="s">
        <v>155</v>
      </c>
      <c r="C116" s="9" t="s">
        <v>7</v>
      </c>
      <c r="D116" s="9" t="s">
        <v>31</v>
      </c>
      <c r="E116" t="s">
        <v>985</v>
      </c>
      <c r="F116" s="11">
        <v>86840</v>
      </c>
      <c r="G116" s="10">
        <v>1997.32</v>
      </c>
      <c r="H116" s="10">
        <v>88837.32</v>
      </c>
      <c r="I116" s="9" t="s">
        <v>17</v>
      </c>
      <c r="J116" s="9" t="s">
        <v>28</v>
      </c>
      <c r="K116" s="4">
        <v>2.3E-2</v>
      </c>
      <c r="L116" t="str">
        <f>IF(pg_1[[#This Row],[Salary]]&gt;=90000, "Met minimum", "Not met minimum")</f>
        <v>Not met minimum</v>
      </c>
    </row>
    <row r="117" spans="1:12" x14ac:dyDescent="0.25">
      <c r="A117" s="8">
        <v>116</v>
      </c>
      <c r="B117" s="9" t="s">
        <v>157</v>
      </c>
      <c r="C117" s="9" t="s">
        <v>12</v>
      </c>
      <c r="D117" s="9" t="s">
        <v>37</v>
      </c>
      <c r="E117" t="s">
        <v>989</v>
      </c>
      <c r="F117" s="11">
        <v>41700</v>
      </c>
      <c r="G117" s="10">
        <v>1709.7</v>
      </c>
      <c r="H117" s="10">
        <v>43409.7</v>
      </c>
      <c r="I117" s="9" t="s">
        <v>9</v>
      </c>
      <c r="J117" s="9" t="s">
        <v>14</v>
      </c>
      <c r="K117" s="4">
        <v>4.1000000000000002E-2</v>
      </c>
      <c r="L117" t="str">
        <f>IF(pg_1[[#This Row],[Salary]]&gt;=90000, "Met minimum", "Not met minimum")</f>
        <v>Not met minimum</v>
      </c>
    </row>
    <row r="118" spans="1:12" x14ac:dyDescent="0.25">
      <c r="A118" s="8">
        <v>117</v>
      </c>
      <c r="B118" s="9" t="s">
        <v>159</v>
      </c>
      <c r="C118" s="9" t="s">
        <v>7</v>
      </c>
      <c r="D118" s="9" t="s">
        <v>27</v>
      </c>
      <c r="E118" t="s">
        <v>992</v>
      </c>
      <c r="F118" s="11">
        <v>72880</v>
      </c>
      <c r="G118" s="10">
        <v>1967.76</v>
      </c>
      <c r="H118" s="10">
        <v>74847.759999999995</v>
      </c>
      <c r="I118" s="9" t="s">
        <v>21</v>
      </c>
      <c r="J118" s="9" t="s">
        <v>28</v>
      </c>
      <c r="K118" s="4">
        <v>2.7E-2</v>
      </c>
      <c r="L118" t="str">
        <f>IF(pg_1[[#This Row],[Salary]]&gt;=90000, "Met minimum", "Not met minimum")</f>
        <v>Not met minimum</v>
      </c>
    </row>
    <row r="119" spans="1:12" x14ac:dyDescent="0.25">
      <c r="A119" s="8">
        <v>118</v>
      </c>
      <c r="B119" s="9" t="s">
        <v>160</v>
      </c>
      <c r="C119" s="9" t="s">
        <v>7</v>
      </c>
      <c r="D119" s="9" t="s">
        <v>53</v>
      </c>
      <c r="E119" t="s">
        <v>991</v>
      </c>
      <c r="F119" s="11">
        <v>117150</v>
      </c>
      <c r="G119" s="10">
        <v>2343</v>
      </c>
      <c r="H119" s="10">
        <v>119493</v>
      </c>
      <c r="I119" s="9" t="s">
        <v>17</v>
      </c>
      <c r="J119" s="9" t="s">
        <v>28</v>
      </c>
      <c r="K119" s="4">
        <v>0.02</v>
      </c>
      <c r="L119" t="str">
        <f>IF(pg_1[[#This Row],[Salary]]&gt;=90000, "Met minimum", "Not met minimum")</f>
        <v>Met minimum</v>
      </c>
    </row>
    <row r="120" spans="1:12" x14ac:dyDescent="0.25">
      <c r="A120" s="8">
        <v>119</v>
      </c>
      <c r="B120" s="9" t="s">
        <v>161</v>
      </c>
      <c r="C120" s="9" t="s">
        <v>7</v>
      </c>
      <c r="D120" s="9" t="s">
        <v>27</v>
      </c>
      <c r="E120" t="s">
        <v>994</v>
      </c>
      <c r="F120" s="11">
        <v>97020</v>
      </c>
      <c r="G120" s="10">
        <v>1261.26</v>
      </c>
      <c r="H120" s="10">
        <v>98281.26</v>
      </c>
      <c r="I120" s="9" t="s">
        <v>21</v>
      </c>
      <c r="J120" s="9" t="s">
        <v>24</v>
      </c>
      <c r="K120" s="4">
        <v>1.2999999999999999E-2</v>
      </c>
      <c r="L120" t="str">
        <f>IF(pg_1[[#This Row],[Salary]]&gt;=90000, "Met minimum", "Not met minimum")</f>
        <v>Met minimum</v>
      </c>
    </row>
    <row r="121" spans="1:12" x14ac:dyDescent="0.25">
      <c r="A121" s="8">
        <v>120</v>
      </c>
      <c r="B121" s="9" t="s">
        <v>162</v>
      </c>
      <c r="C121" s="9" t="s">
        <v>7</v>
      </c>
      <c r="D121" s="9" t="s">
        <v>42</v>
      </c>
      <c r="E121" t="s">
        <v>986</v>
      </c>
      <c r="F121" s="11">
        <v>67510</v>
      </c>
      <c r="G121" s="10">
        <v>0</v>
      </c>
      <c r="H121" s="10">
        <v>67510</v>
      </c>
      <c r="I121" s="9" t="s">
        <v>21</v>
      </c>
      <c r="J121" s="9" t="s">
        <v>18</v>
      </c>
      <c r="K121" s="4">
        <v>0</v>
      </c>
      <c r="L121" t="str">
        <f>IF(pg_1[[#This Row],[Salary]]&gt;=90000, "Met minimum", "Not met minimum")</f>
        <v>Not met minimum</v>
      </c>
    </row>
    <row r="122" spans="1:12" x14ac:dyDescent="0.25">
      <c r="A122" s="8">
        <v>121</v>
      </c>
      <c r="B122" s="9" t="s">
        <v>163</v>
      </c>
      <c r="C122" s="9" t="s">
        <v>12</v>
      </c>
      <c r="D122" s="9" t="s">
        <v>27</v>
      </c>
      <c r="E122" t="s">
        <v>990</v>
      </c>
      <c r="F122" s="11">
        <v>34830</v>
      </c>
      <c r="G122" s="10">
        <v>940.41</v>
      </c>
      <c r="H122" s="10">
        <v>35770.410000000003</v>
      </c>
      <c r="I122" s="9" t="s">
        <v>21</v>
      </c>
      <c r="J122" s="9" t="s">
        <v>28</v>
      </c>
      <c r="K122" s="4">
        <v>2.7E-2</v>
      </c>
      <c r="L122" t="str">
        <f>IF(pg_1[[#This Row],[Salary]]&gt;=90000, "Met minimum", "Not met minimum")</f>
        <v>Not met minimum</v>
      </c>
    </row>
    <row r="123" spans="1:12" x14ac:dyDescent="0.25">
      <c r="A123" s="8">
        <v>122</v>
      </c>
      <c r="B123" s="9" t="s">
        <v>164</v>
      </c>
      <c r="C123" s="9" t="s">
        <v>7</v>
      </c>
      <c r="D123" s="9" t="s">
        <v>20</v>
      </c>
      <c r="E123" t="s">
        <v>990</v>
      </c>
      <c r="F123" s="11">
        <v>38730</v>
      </c>
      <c r="G123" s="10">
        <v>813.33</v>
      </c>
      <c r="H123" s="10">
        <v>39543.33</v>
      </c>
      <c r="I123" s="9" t="s">
        <v>17</v>
      </c>
      <c r="J123" s="9" t="s">
        <v>28</v>
      </c>
      <c r="K123" s="4">
        <v>2.1000000000000001E-2</v>
      </c>
      <c r="L123" t="str">
        <f>IF(pg_1[[#This Row],[Salary]]&gt;=90000, "Met minimum", "Not met minimum")</f>
        <v>Not met minimum</v>
      </c>
    </row>
    <row r="124" spans="1:12" x14ac:dyDescent="0.25">
      <c r="A124" s="8">
        <v>123</v>
      </c>
      <c r="B124" s="9" t="s">
        <v>165</v>
      </c>
      <c r="C124" s="9" t="s">
        <v>7</v>
      </c>
      <c r="D124" s="9" t="s">
        <v>31</v>
      </c>
      <c r="E124" t="s">
        <v>994</v>
      </c>
      <c r="F124" s="11">
        <v>96790</v>
      </c>
      <c r="G124" s="10">
        <v>5129.87</v>
      </c>
      <c r="H124" s="10">
        <v>101919.87</v>
      </c>
      <c r="I124" s="9" t="s">
        <v>9</v>
      </c>
      <c r="J124" s="9" t="s">
        <v>14</v>
      </c>
      <c r="K124" s="4">
        <v>5.2999999999999999E-2</v>
      </c>
      <c r="L124" t="str">
        <f>IF(pg_1[[#This Row],[Salary]]&gt;=90000, "Met minimum", "Not met minimum")</f>
        <v>Met minimum</v>
      </c>
    </row>
    <row r="125" spans="1:12" x14ac:dyDescent="0.25">
      <c r="A125" s="8">
        <v>124</v>
      </c>
      <c r="B125" s="9" t="s">
        <v>166</v>
      </c>
      <c r="C125" s="9" t="s">
        <v>12</v>
      </c>
      <c r="D125" s="9" t="s">
        <v>13</v>
      </c>
      <c r="E125" t="s">
        <v>986</v>
      </c>
      <c r="F125" s="11">
        <v>68040</v>
      </c>
      <c r="G125" s="10">
        <v>2925.72</v>
      </c>
      <c r="H125" s="10">
        <v>70965.72</v>
      </c>
      <c r="I125" s="9" t="s">
        <v>21</v>
      </c>
      <c r="J125" s="9" t="s">
        <v>14</v>
      </c>
      <c r="K125" s="4">
        <v>4.2999999999999997E-2</v>
      </c>
      <c r="L125" t="str">
        <f>IF(pg_1[[#This Row],[Salary]]&gt;=90000, "Met minimum", "Not met minimum")</f>
        <v>Not met minimum</v>
      </c>
    </row>
    <row r="126" spans="1:12" x14ac:dyDescent="0.25">
      <c r="A126" s="8">
        <v>125</v>
      </c>
      <c r="B126" s="9" t="s">
        <v>167</v>
      </c>
      <c r="C126" s="9" t="s">
        <v>7</v>
      </c>
      <c r="D126" s="9" t="s">
        <v>34</v>
      </c>
      <c r="E126" t="s">
        <v>985</v>
      </c>
      <c r="F126" s="11">
        <v>88510</v>
      </c>
      <c r="G126" s="10">
        <v>2124.2400000000002</v>
      </c>
      <c r="H126" s="10">
        <v>90634.240000000005</v>
      </c>
      <c r="I126" s="9" t="s">
        <v>9</v>
      </c>
      <c r="J126" s="9" t="s">
        <v>28</v>
      </c>
      <c r="K126" s="4">
        <v>2.4E-2</v>
      </c>
      <c r="L126" t="str">
        <f>IF(pg_1[[#This Row],[Salary]]&gt;=90000, "Met minimum", "Not met minimum")</f>
        <v>Not met minimum</v>
      </c>
    </row>
    <row r="127" spans="1:12" x14ac:dyDescent="0.25">
      <c r="A127" s="8">
        <v>126</v>
      </c>
      <c r="B127" s="9" t="s">
        <v>168</v>
      </c>
      <c r="C127" s="9" t="s">
        <v>12</v>
      </c>
      <c r="D127" s="9" t="s">
        <v>27</v>
      </c>
      <c r="E127" t="s">
        <v>986</v>
      </c>
      <c r="F127" s="11">
        <v>65350</v>
      </c>
      <c r="G127" s="10">
        <v>326.75</v>
      </c>
      <c r="H127" s="10">
        <v>65676.75</v>
      </c>
      <c r="I127" s="9" t="s">
        <v>17</v>
      </c>
      <c r="J127" s="9" t="s">
        <v>51</v>
      </c>
      <c r="K127" s="4">
        <v>5.0000000000000001E-3</v>
      </c>
      <c r="L127" t="str">
        <f>IF(pg_1[[#This Row],[Salary]]&gt;=90000, "Met minimum", "Not met minimum")</f>
        <v>Not met minimum</v>
      </c>
    </row>
    <row r="128" spans="1:12" x14ac:dyDescent="0.25">
      <c r="A128" s="8">
        <v>127</v>
      </c>
      <c r="B128" s="9" t="s">
        <v>169</v>
      </c>
      <c r="C128" s="9" t="s">
        <v>12</v>
      </c>
      <c r="D128" s="9" t="s">
        <v>37</v>
      </c>
      <c r="E128" t="s">
        <v>987</v>
      </c>
      <c r="F128" s="11">
        <v>52000</v>
      </c>
      <c r="G128" s="10">
        <v>0</v>
      </c>
      <c r="H128" s="10">
        <v>52000</v>
      </c>
      <c r="I128" s="9" t="s">
        <v>9</v>
      </c>
      <c r="J128" s="9" t="s">
        <v>18</v>
      </c>
      <c r="K128" s="4">
        <v>0</v>
      </c>
      <c r="L128" t="str">
        <f>IF(pg_1[[#This Row],[Salary]]&gt;=90000, "Met minimum", "Not met minimum")</f>
        <v>Not met minimum</v>
      </c>
    </row>
    <row r="129" spans="1:12" x14ac:dyDescent="0.25">
      <c r="A129" s="8">
        <v>128</v>
      </c>
      <c r="B129" s="9" t="s">
        <v>170</v>
      </c>
      <c r="C129" s="9" t="s">
        <v>12</v>
      </c>
      <c r="D129" s="9" t="s">
        <v>27</v>
      </c>
      <c r="E129" t="s">
        <v>985</v>
      </c>
      <c r="F129" s="11">
        <v>85740</v>
      </c>
      <c r="G129" s="10">
        <v>2314.98</v>
      </c>
      <c r="H129" s="10">
        <v>88054.98</v>
      </c>
      <c r="I129" s="9" t="s">
        <v>9</v>
      </c>
      <c r="J129" s="9" t="s">
        <v>28</v>
      </c>
      <c r="K129" s="4">
        <v>2.7E-2</v>
      </c>
      <c r="L129" t="str">
        <f>IF(pg_1[[#This Row],[Salary]]&gt;=90000, "Met minimum", "Not met minimum")</f>
        <v>Not met minimum</v>
      </c>
    </row>
    <row r="130" spans="1:12" x14ac:dyDescent="0.25">
      <c r="A130" s="8">
        <v>129</v>
      </c>
      <c r="B130" s="9" t="s">
        <v>171</v>
      </c>
      <c r="C130" s="9" t="s">
        <v>7</v>
      </c>
      <c r="D130" s="9" t="s">
        <v>50</v>
      </c>
      <c r="E130" t="s">
        <v>994</v>
      </c>
      <c r="F130" s="11">
        <v>92500</v>
      </c>
      <c r="G130" s="10">
        <v>4995</v>
      </c>
      <c r="H130" s="10">
        <v>97495</v>
      </c>
      <c r="I130" s="9" t="s">
        <v>9</v>
      </c>
      <c r="J130" s="9" t="s">
        <v>14</v>
      </c>
      <c r="K130" s="4">
        <v>5.3999999999999999E-2</v>
      </c>
      <c r="L130" t="str">
        <f>IF(pg_1[[#This Row],[Salary]]&gt;=90000, "Met minimum", "Not met minimum")</f>
        <v>Met minimum</v>
      </c>
    </row>
    <row r="131" spans="1:12" x14ac:dyDescent="0.25">
      <c r="A131" s="8">
        <v>130</v>
      </c>
      <c r="B131" s="9" t="s">
        <v>172</v>
      </c>
      <c r="C131" s="9" t="s">
        <v>7</v>
      </c>
      <c r="D131" s="9" t="s">
        <v>8</v>
      </c>
      <c r="E131" t="s">
        <v>985</v>
      </c>
      <c r="F131" s="11">
        <v>80770</v>
      </c>
      <c r="G131" s="10">
        <v>7107.7599999999993</v>
      </c>
      <c r="H131" s="10">
        <v>87877.759999999995</v>
      </c>
      <c r="I131" s="9" t="s">
        <v>17</v>
      </c>
      <c r="J131" s="9" t="s">
        <v>10</v>
      </c>
      <c r="K131" s="4">
        <v>8.7999999999999995E-2</v>
      </c>
      <c r="L131" t="str">
        <f>IF(pg_1[[#This Row],[Salary]]&gt;=90000, "Met minimum", "Not met minimum")</f>
        <v>Not met minimum</v>
      </c>
    </row>
    <row r="132" spans="1:12" x14ac:dyDescent="0.25">
      <c r="A132" s="8">
        <v>131</v>
      </c>
      <c r="B132" s="9" t="s">
        <v>173</v>
      </c>
      <c r="C132" s="9" t="s">
        <v>12</v>
      </c>
      <c r="D132" s="9" t="s">
        <v>37</v>
      </c>
      <c r="E132" t="s">
        <v>986</v>
      </c>
      <c r="F132" s="11">
        <v>67820</v>
      </c>
      <c r="G132" s="10">
        <v>0</v>
      </c>
      <c r="H132" s="10">
        <v>67820</v>
      </c>
      <c r="I132" s="9" t="s">
        <v>21</v>
      </c>
      <c r="J132" s="9" t="s">
        <v>18</v>
      </c>
      <c r="K132" s="4">
        <v>0</v>
      </c>
      <c r="L132" t="str">
        <f>IF(pg_1[[#This Row],[Salary]]&gt;=90000, "Met minimum", "Not met minimum")</f>
        <v>Not met minimum</v>
      </c>
    </row>
    <row r="133" spans="1:12" x14ac:dyDescent="0.25">
      <c r="A133" s="8">
        <v>132</v>
      </c>
      <c r="B133" s="9" t="s">
        <v>174</v>
      </c>
      <c r="C133" s="9" t="s">
        <v>12</v>
      </c>
      <c r="D133" s="9" t="s">
        <v>13</v>
      </c>
      <c r="E133" t="s">
        <v>989</v>
      </c>
      <c r="F133" s="11">
        <v>48060</v>
      </c>
      <c r="G133" s="10">
        <v>528.66</v>
      </c>
      <c r="H133" s="10">
        <v>48588.66</v>
      </c>
      <c r="I133" s="9" t="s">
        <v>17</v>
      </c>
      <c r="J133" s="9" t="s">
        <v>24</v>
      </c>
      <c r="K133" s="4">
        <v>1.0999999999999999E-2</v>
      </c>
      <c r="L133" t="str">
        <f>IF(pg_1[[#This Row],[Salary]]&gt;=90000, "Met minimum", "Not met minimum")</f>
        <v>Not met minimum</v>
      </c>
    </row>
    <row r="134" spans="1:12" x14ac:dyDescent="0.25">
      <c r="A134" s="8">
        <v>133</v>
      </c>
      <c r="B134" s="9" t="s">
        <v>175</v>
      </c>
      <c r="C134" s="9" t="s">
        <v>7</v>
      </c>
      <c r="D134" s="9" t="s">
        <v>42</v>
      </c>
      <c r="E134" t="s">
        <v>987</v>
      </c>
      <c r="F134" s="11">
        <v>56830</v>
      </c>
      <c r="G134" s="10">
        <v>3580.29</v>
      </c>
      <c r="H134" s="10">
        <v>60410.29</v>
      </c>
      <c r="I134" s="9" t="s">
        <v>21</v>
      </c>
      <c r="J134" s="9" t="s">
        <v>10</v>
      </c>
      <c r="K134" s="4">
        <v>6.3E-2</v>
      </c>
      <c r="L134" t="str">
        <f>IF(pg_1[[#This Row],[Salary]]&gt;=90000, "Met minimum", "Not met minimum")</f>
        <v>Not met minimum</v>
      </c>
    </row>
    <row r="135" spans="1:12" x14ac:dyDescent="0.25">
      <c r="A135" s="8">
        <v>134</v>
      </c>
      <c r="B135" s="9" t="s">
        <v>176</v>
      </c>
      <c r="C135" s="9" t="s">
        <v>12</v>
      </c>
      <c r="D135" s="9" t="s">
        <v>37</v>
      </c>
      <c r="E135" t="s">
        <v>992</v>
      </c>
      <c r="F135" s="11">
        <v>72500</v>
      </c>
      <c r="G135" s="10">
        <v>362.5</v>
      </c>
      <c r="H135" s="10">
        <v>72862.5</v>
      </c>
      <c r="I135" s="9" t="s">
        <v>9</v>
      </c>
      <c r="J135" s="9" t="s">
        <v>51</v>
      </c>
      <c r="K135" s="4">
        <v>5.0000000000000001E-3</v>
      </c>
      <c r="L135" t="str">
        <f>IF(pg_1[[#This Row],[Salary]]&gt;=90000, "Met minimum", "Not met minimum")</f>
        <v>Not met minimum</v>
      </c>
    </row>
    <row r="136" spans="1:12" x14ac:dyDescent="0.25">
      <c r="A136" s="8">
        <v>135</v>
      </c>
      <c r="B136" s="9" t="s">
        <v>177</v>
      </c>
      <c r="C136" s="9" t="s">
        <v>12</v>
      </c>
      <c r="D136" s="9" t="s">
        <v>31</v>
      </c>
      <c r="E136" t="s">
        <v>987</v>
      </c>
      <c r="F136" s="11">
        <v>57080</v>
      </c>
      <c r="G136" s="10">
        <v>1312.84</v>
      </c>
      <c r="H136" s="10">
        <v>58392.84</v>
      </c>
      <c r="I136" s="9" t="s">
        <v>17</v>
      </c>
      <c r="J136" s="9" t="s">
        <v>28</v>
      </c>
      <c r="K136" s="4">
        <v>2.3E-2</v>
      </c>
      <c r="L136" t="str">
        <f>IF(pg_1[[#This Row],[Salary]]&gt;=90000, "Met minimum", "Not met minimum")</f>
        <v>Not met minimum</v>
      </c>
    </row>
    <row r="137" spans="1:12" x14ac:dyDescent="0.25">
      <c r="A137" s="8">
        <v>136</v>
      </c>
      <c r="B137" s="9" t="s">
        <v>178</v>
      </c>
      <c r="C137" s="9" t="s">
        <v>7</v>
      </c>
      <c r="D137" s="9" t="s">
        <v>37</v>
      </c>
      <c r="E137" t="s">
        <v>988</v>
      </c>
      <c r="F137" s="11">
        <v>104080</v>
      </c>
      <c r="G137" s="10">
        <v>520.4</v>
      </c>
      <c r="H137" s="10">
        <v>104600.4</v>
      </c>
      <c r="I137" s="9" t="s">
        <v>17</v>
      </c>
      <c r="J137" s="9" t="s">
        <v>51</v>
      </c>
      <c r="K137" s="4">
        <v>5.0000000000000001E-3</v>
      </c>
      <c r="L137" t="str">
        <f>IF(pg_1[[#This Row],[Salary]]&gt;=90000, "Met minimum", "Not met minimum")</f>
        <v>Met minimum</v>
      </c>
    </row>
    <row r="138" spans="1:12" x14ac:dyDescent="0.25">
      <c r="A138" s="8">
        <v>137</v>
      </c>
      <c r="B138" s="9" t="s">
        <v>180</v>
      </c>
      <c r="C138" s="9" t="s">
        <v>7</v>
      </c>
      <c r="D138" s="9" t="s">
        <v>20</v>
      </c>
      <c r="E138" t="s">
        <v>993</v>
      </c>
      <c r="F138" s="11">
        <v>29770</v>
      </c>
      <c r="G138" s="10">
        <v>1607.58</v>
      </c>
      <c r="H138" s="10">
        <v>31377.58</v>
      </c>
      <c r="I138" s="9" t="s">
        <v>9</v>
      </c>
      <c r="J138" s="9" t="s">
        <v>14</v>
      </c>
      <c r="K138" s="4">
        <v>5.3999999999999999E-2</v>
      </c>
      <c r="L138" t="str">
        <f>IF(pg_1[[#This Row],[Salary]]&gt;=90000, "Met minimum", "Not met minimum")</f>
        <v>Not met minimum</v>
      </c>
    </row>
    <row r="139" spans="1:12" x14ac:dyDescent="0.25">
      <c r="A139" s="8">
        <v>138</v>
      </c>
      <c r="B139" s="9" t="s">
        <v>181</v>
      </c>
      <c r="C139" s="9" t="s">
        <v>7</v>
      </c>
      <c r="D139" s="9" t="s">
        <v>20</v>
      </c>
      <c r="E139" t="s">
        <v>989</v>
      </c>
      <c r="F139" s="11">
        <v>48690</v>
      </c>
      <c r="G139" s="10">
        <v>1022.49</v>
      </c>
      <c r="H139" s="10">
        <v>49712.49</v>
      </c>
      <c r="I139" s="9" t="s">
        <v>9</v>
      </c>
      <c r="J139" s="9" t="s">
        <v>28</v>
      </c>
      <c r="K139" s="4">
        <v>2.1000000000000001E-2</v>
      </c>
      <c r="L139" t="str">
        <f>IF(pg_1[[#This Row],[Salary]]&gt;=90000, "Met minimum", "Not met minimum")</f>
        <v>Not met minimum</v>
      </c>
    </row>
    <row r="140" spans="1:12" x14ac:dyDescent="0.25">
      <c r="A140" s="8">
        <v>139</v>
      </c>
      <c r="B140" s="9" t="s">
        <v>182</v>
      </c>
      <c r="C140" s="9" t="s">
        <v>970</v>
      </c>
      <c r="D140" s="9" t="s">
        <v>50</v>
      </c>
      <c r="E140" t="s">
        <v>992</v>
      </c>
      <c r="F140" s="11">
        <v>70080</v>
      </c>
      <c r="G140" s="10">
        <v>350.40000000000003</v>
      </c>
      <c r="H140" s="10">
        <v>70430.399999999994</v>
      </c>
      <c r="I140" s="9" t="s">
        <v>9</v>
      </c>
      <c r="J140" s="9" t="s">
        <v>51</v>
      </c>
      <c r="K140" s="4">
        <v>5.0000000000000001E-3</v>
      </c>
      <c r="L140" t="str">
        <f>IF(pg_1[[#This Row],[Salary]]&gt;=90000, "Met minimum", "Not met minimum")</f>
        <v>Not met minimum</v>
      </c>
    </row>
    <row r="141" spans="1:12" x14ac:dyDescent="0.25">
      <c r="A141" s="8">
        <v>140</v>
      </c>
      <c r="B141" s="9" t="s">
        <v>183</v>
      </c>
      <c r="C141" s="9" t="s">
        <v>12</v>
      </c>
      <c r="D141" s="9" t="s">
        <v>34</v>
      </c>
      <c r="E141" t="s">
        <v>986</v>
      </c>
      <c r="F141" s="11">
        <v>69190</v>
      </c>
      <c r="G141" s="10">
        <v>1660.56</v>
      </c>
      <c r="H141" s="10">
        <v>70850.559999999998</v>
      </c>
      <c r="I141" s="9" t="s">
        <v>17</v>
      </c>
      <c r="J141" s="9" t="s">
        <v>28</v>
      </c>
      <c r="K141" s="4">
        <v>2.4E-2</v>
      </c>
      <c r="L141" t="str">
        <f>IF(pg_1[[#This Row],[Salary]]&gt;=90000, "Met minimum", "Not met minimum")</f>
        <v>Not met minimum</v>
      </c>
    </row>
    <row r="142" spans="1:12" x14ac:dyDescent="0.25">
      <c r="A142" s="8">
        <v>141</v>
      </c>
      <c r="B142" s="9" t="s">
        <v>184</v>
      </c>
      <c r="C142" s="9" t="s">
        <v>7</v>
      </c>
      <c r="D142" s="9" t="s">
        <v>31</v>
      </c>
      <c r="E142" t="s">
        <v>990</v>
      </c>
      <c r="F142" s="11">
        <v>37920</v>
      </c>
      <c r="G142" s="10">
        <v>872.16</v>
      </c>
      <c r="H142" s="10">
        <v>38792.160000000003</v>
      </c>
      <c r="I142" s="9" t="s">
        <v>17</v>
      </c>
      <c r="J142" s="9" t="s">
        <v>28</v>
      </c>
      <c r="K142" s="4">
        <v>2.3E-2</v>
      </c>
      <c r="L142" t="str">
        <f>IF(pg_1[[#This Row],[Salary]]&gt;=90000, "Met minimum", "Not met minimum")</f>
        <v>Not met minimum</v>
      </c>
    </row>
    <row r="143" spans="1:12" x14ac:dyDescent="0.25">
      <c r="A143" s="8">
        <v>142</v>
      </c>
      <c r="B143" s="9" t="s">
        <v>185</v>
      </c>
      <c r="C143" s="9" t="s">
        <v>7</v>
      </c>
      <c r="D143" s="9" t="s">
        <v>53</v>
      </c>
      <c r="E143" t="s">
        <v>985</v>
      </c>
      <c r="F143" s="11">
        <v>89120</v>
      </c>
      <c r="G143" s="10">
        <v>5168.96</v>
      </c>
      <c r="H143" s="10">
        <v>94288.960000000006</v>
      </c>
      <c r="I143" s="9" t="s">
        <v>9</v>
      </c>
      <c r="J143" s="9" t="s">
        <v>14</v>
      </c>
      <c r="K143" s="4">
        <v>5.8000000000000003E-2</v>
      </c>
      <c r="L143" t="str">
        <f>IF(pg_1[[#This Row],[Salary]]&gt;=90000, "Met minimum", "Not met minimum")</f>
        <v>Not met minimum</v>
      </c>
    </row>
    <row r="144" spans="1:12" x14ac:dyDescent="0.25">
      <c r="A144" s="8">
        <v>143</v>
      </c>
      <c r="B144" s="9" t="s">
        <v>186</v>
      </c>
      <c r="C144" s="9" t="s">
        <v>12</v>
      </c>
      <c r="D144" s="9" t="s">
        <v>20</v>
      </c>
      <c r="E144" t="s">
        <v>989</v>
      </c>
      <c r="F144" s="11">
        <v>48140</v>
      </c>
      <c r="G144" s="10">
        <v>3080.96</v>
      </c>
      <c r="H144" s="10">
        <v>51220.959999999999</v>
      </c>
      <c r="I144" s="9" t="s">
        <v>17</v>
      </c>
      <c r="J144" s="9" t="s">
        <v>10</v>
      </c>
      <c r="K144" s="4">
        <v>6.4000000000000001E-2</v>
      </c>
      <c r="L144" t="str">
        <f>IF(pg_1[[#This Row],[Salary]]&gt;=90000, "Met minimum", "Not met minimum")</f>
        <v>Not met minimum</v>
      </c>
    </row>
    <row r="145" spans="1:12" x14ac:dyDescent="0.25">
      <c r="A145" s="8">
        <v>144</v>
      </c>
      <c r="B145" s="9" t="s">
        <v>187</v>
      </c>
      <c r="C145" s="9" t="s">
        <v>7</v>
      </c>
      <c r="D145" s="9" t="s">
        <v>23</v>
      </c>
      <c r="E145" t="s">
        <v>986</v>
      </c>
      <c r="F145" s="11">
        <v>69340</v>
      </c>
      <c r="G145" s="10">
        <v>1941.52</v>
      </c>
      <c r="H145" s="10">
        <v>71281.52</v>
      </c>
      <c r="I145" s="9" t="s">
        <v>9</v>
      </c>
      <c r="J145" s="9" t="s">
        <v>28</v>
      </c>
      <c r="K145" s="4">
        <v>2.8000000000000001E-2</v>
      </c>
      <c r="L145" t="str">
        <f>IF(pg_1[[#This Row],[Salary]]&gt;=90000, "Met minimum", "Not met minimum")</f>
        <v>Not met minimum</v>
      </c>
    </row>
    <row r="146" spans="1:12" x14ac:dyDescent="0.25">
      <c r="A146" s="8">
        <v>145</v>
      </c>
      <c r="B146" s="9" t="s">
        <v>188</v>
      </c>
      <c r="C146" s="9" t="s">
        <v>7</v>
      </c>
      <c r="D146" s="9" t="s">
        <v>27</v>
      </c>
      <c r="E146" t="s">
        <v>992</v>
      </c>
      <c r="F146" s="11">
        <v>71330</v>
      </c>
      <c r="G146" s="10">
        <v>5421.08</v>
      </c>
      <c r="H146" s="10">
        <v>76751.08</v>
      </c>
      <c r="I146" s="9" t="s">
        <v>21</v>
      </c>
      <c r="J146" s="9" t="s">
        <v>10</v>
      </c>
      <c r="K146" s="4">
        <v>7.5999999999999998E-2</v>
      </c>
      <c r="L146" t="str">
        <f>IF(pg_1[[#This Row],[Salary]]&gt;=90000, "Met minimum", "Not met minimum")</f>
        <v>Not met minimum</v>
      </c>
    </row>
    <row r="147" spans="1:12" x14ac:dyDescent="0.25">
      <c r="A147" s="8">
        <v>146</v>
      </c>
      <c r="B147" s="9" t="s">
        <v>189</v>
      </c>
      <c r="C147" s="9" t="s">
        <v>12</v>
      </c>
      <c r="D147" s="9" t="s">
        <v>67</v>
      </c>
      <c r="E147" t="s">
        <v>986</v>
      </c>
      <c r="F147" s="11">
        <v>67620</v>
      </c>
      <c r="G147" s="10">
        <v>3921.96</v>
      </c>
      <c r="H147" s="10">
        <v>71541.960000000006</v>
      </c>
      <c r="I147" s="9" t="s">
        <v>17</v>
      </c>
      <c r="J147" s="9" t="s">
        <v>14</v>
      </c>
      <c r="K147" s="4">
        <v>5.8000000000000003E-2</v>
      </c>
      <c r="L147" t="str">
        <f>IF(pg_1[[#This Row],[Salary]]&gt;=90000, "Met minimum", "Not met minimum")</f>
        <v>Not met minimum</v>
      </c>
    </row>
    <row r="148" spans="1:12" x14ac:dyDescent="0.25">
      <c r="A148" s="8">
        <v>147</v>
      </c>
      <c r="B148" s="9" t="s">
        <v>190</v>
      </c>
      <c r="C148" s="9" t="s">
        <v>12</v>
      </c>
      <c r="D148" s="9" t="s">
        <v>37</v>
      </c>
      <c r="E148" t="s">
        <v>986</v>
      </c>
      <c r="F148" s="11">
        <v>69740</v>
      </c>
      <c r="G148" s="10">
        <v>0</v>
      </c>
      <c r="H148" s="10">
        <v>69740</v>
      </c>
      <c r="I148" s="9" t="s">
        <v>9</v>
      </c>
      <c r="J148" s="9" t="s">
        <v>18</v>
      </c>
      <c r="K148" s="4">
        <v>0</v>
      </c>
      <c r="L148" t="str">
        <f>IF(pg_1[[#This Row],[Salary]]&gt;=90000, "Met minimum", "Not met minimum")</f>
        <v>Not met minimum</v>
      </c>
    </row>
    <row r="149" spans="1:12" x14ac:dyDescent="0.25">
      <c r="A149" s="8">
        <v>148</v>
      </c>
      <c r="B149" s="9" t="s">
        <v>191</v>
      </c>
      <c r="C149" s="9" t="s">
        <v>12</v>
      </c>
      <c r="D149" s="9" t="s">
        <v>13</v>
      </c>
      <c r="E149" t="s">
        <v>989</v>
      </c>
      <c r="F149" s="11">
        <v>44300</v>
      </c>
      <c r="G149" s="10">
        <v>1904.8999999999999</v>
      </c>
      <c r="H149" s="10">
        <v>46204.9</v>
      </c>
      <c r="I149" s="9" t="s">
        <v>9</v>
      </c>
      <c r="J149" s="9" t="s">
        <v>14</v>
      </c>
      <c r="K149" s="4">
        <v>4.2999999999999997E-2</v>
      </c>
      <c r="L149" t="str">
        <f>IF(pg_1[[#This Row],[Salary]]&gt;=90000, "Met minimum", "Not met minimum")</f>
        <v>Not met minimum</v>
      </c>
    </row>
    <row r="150" spans="1:12" x14ac:dyDescent="0.25">
      <c r="A150" s="8">
        <v>149</v>
      </c>
      <c r="B150" s="9" t="s">
        <v>192</v>
      </c>
      <c r="C150" s="9" t="s">
        <v>12</v>
      </c>
      <c r="D150" s="9" t="s">
        <v>34</v>
      </c>
      <c r="E150" t="s">
        <v>989</v>
      </c>
      <c r="F150" s="11">
        <v>40560</v>
      </c>
      <c r="G150" s="10">
        <v>730.07999999999993</v>
      </c>
      <c r="H150" s="10">
        <v>41290.080000000002</v>
      </c>
      <c r="I150" s="9" t="s">
        <v>9</v>
      </c>
      <c r="J150" s="9" t="s">
        <v>24</v>
      </c>
      <c r="K150" s="4">
        <v>1.7999999999999999E-2</v>
      </c>
      <c r="L150" t="str">
        <f>IF(pg_1[[#This Row],[Salary]]&gt;=90000, "Met minimum", "Not met minimum")</f>
        <v>Not met minimum</v>
      </c>
    </row>
    <row r="151" spans="1:12" x14ac:dyDescent="0.25">
      <c r="A151" s="8">
        <v>150</v>
      </c>
      <c r="B151" s="9" t="s">
        <v>193</v>
      </c>
      <c r="C151" s="9" t="s">
        <v>12</v>
      </c>
      <c r="D151" s="9" t="s">
        <v>8</v>
      </c>
      <c r="E151" t="s">
        <v>991</v>
      </c>
      <c r="F151" s="11">
        <v>115230</v>
      </c>
      <c r="G151" s="10">
        <v>5876.73</v>
      </c>
      <c r="H151" s="10">
        <v>121106.73</v>
      </c>
      <c r="I151" s="9" t="s">
        <v>17</v>
      </c>
      <c r="J151" s="9" t="s">
        <v>14</v>
      </c>
      <c r="K151" s="4">
        <v>5.0999999999999997E-2</v>
      </c>
      <c r="L151" t="str">
        <f>IF(pg_1[[#This Row],[Salary]]&gt;=90000, "Met minimum", "Not met minimum")</f>
        <v>Met minimum</v>
      </c>
    </row>
    <row r="152" spans="1:12" x14ac:dyDescent="0.25">
      <c r="A152" s="8">
        <v>151</v>
      </c>
      <c r="B152" s="9" t="s">
        <v>194</v>
      </c>
      <c r="C152" s="9" t="s">
        <v>12</v>
      </c>
      <c r="D152" s="9" t="s">
        <v>42</v>
      </c>
      <c r="E152" t="s">
        <v>990</v>
      </c>
      <c r="F152" s="11">
        <v>39750</v>
      </c>
      <c r="G152" s="10">
        <v>1590</v>
      </c>
      <c r="H152" s="10">
        <v>41340</v>
      </c>
      <c r="I152" s="9" t="s">
        <v>21</v>
      </c>
      <c r="J152" s="9" t="s">
        <v>28</v>
      </c>
      <c r="K152" s="4">
        <v>0.04</v>
      </c>
      <c r="L152" t="str">
        <f>IF(pg_1[[#This Row],[Salary]]&gt;=90000, "Met minimum", "Not met minimum")</f>
        <v>Not met minimum</v>
      </c>
    </row>
    <row r="153" spans="1:12" x14ac:dyDescent="0.25">
      <c r="A153" s="8">
        <v>152</v>
      </c>
      <c r="B153" s="9" t="s">
        <v>195</v>
      </c>
      <c r="C153" s="9" t="s">
        <v>970</v>
      </c>
      <c r="D153" s="9" t="s">
        <v>50</v>
      </c>
      <c r="E153" t="s">
        <v>988</v>
      </c>
      <c r="F153" s="11">
        <v>108970</v>
      </c>
      <c r="G153" s="10">
        <v>3596.01</v>
      </c>
      <c r="H153" s="10">
        <v>112566.01</v>
      </c>
      <c r="I153" s="9" t="s">
        <v>17</v>
      </c>
      <c r="J153" s="9" t="s">
        <v>28</v>
      </c>
      <c r="K153" s="4">
        <v>3.3000000000000002E-2</v>
      </c>
      <c r="L153" t="str">
        <f>IF(pg_1[[#This Row],[Salary]]&gt;=90000, "Met minimum", "Not met minimum")</f>
        <v>Met minimum</v>
      </c>
    </row>
    <row r="154" spans="1:12" x14ac:dyDescent="0.25">
      <c r="A154" s="8">
        <v>153</v>
      </c>
      <c r="B154" s="9" t="s">
        <v>196</v>
      </c>
      <c r="C154" s="9" t="s">
        <v>12</v>
      </c>
      <c r="D154" s="9" t="s">
        <v>13</v>
      </c>
      <c r="E154" t="s">
        <v>991</v>
      </c>
      <c r="F154" s="11">
        <v>112570</v>
      </c>
      <c r="G154" s="10">
        <v>1238.27</v>
      </c>
      <c r="H154" s="10">
        <v>113808.27</v>
      </c>
      <c r="I154" s="9" t="s">
        <v>17</v>
      </c>
      <c r="J154" s="9" t="s">
        <v>24</v>
      </c>
      <c r="K154" s="4">
        <v>1.0999999999999999E-2</v>
      </c>
      <c r="L154" t="str">
        <f>IF(pg_1[[#This Row],[Salary]]&gt;=90000, "Met minimum", "Not met minimum")</f>
        <v>Met minimum</v>
      </c>
    </row>
    <row r="155" spans="1:12" x14ac:dyDescent="0.25">
      <c r="A155" s="8">
        <v>154</v>
      </c>
      <c r="B155" s="9" t="s">
        <v>197</v>
      </c>
      <c r="C155" s="9" t="s">
        <v>7</v>
      </c>
      <c r="D155" s="9" t="s">
        <v>53</v>
      </c>
      <c r="E155" t="s">
        <v>987</v>
      </c>
      <c r="F155" s="11">
        <v>56810</v>
      </c>
      <c r="G155" s="10">
        <v>681.72</v>
      </c>
      <c r="H155" s="10">
        <v>57491.72</v>
      </c>
      <c r="I155" s="9" t="s">
        <v>21</v>
      </c>
      <c r="J155" s="9" t="s">
        <v>24</v>
      </c>
      <c r="K155" s="4">
        <v>1.2E-2</v>
      </c>
      <c r="L155" t="str">
        <f>IF(pg_1[[#This Row],[Salary]]&gt;=90000, "Met minimum", "Not met minimum")</f>
        <v>Not met minimum</v>
      </c>
    </row>
    <row r="156" spans="1:12" x14ac:dyDescent="0.25">
      <c r="A156" s="8">
        <v>155</v>
      </c>
      <c r="B156" s="9" t="s">
        <v>198</v>
      </c>
      <c r="C156" s="9" t="s">
        <v>970</v>
      </c>
      <c r="D156" s="9" t="s">
        <v>34</v>
      </c>
      <c r="E156" t="s">
        <v>989</v>
      </c>
      <c r="F156" s="11">
        <v>42950</v>
      </c>
      <c r="G156" s="10">
        <v>773.09999999999991</v>
      </c>
      <c r="H156" s="10">
        <v>43723.1</v>
      </c>
      <c r="I156" s="9" t="s">
        <v>17</v>
      </c>
      <c r="J156" s="9" t="s">
        <v>24</v>
      </c>
      <c r="K156" s="4">
        <v>1.7999999999999999E-2</v>
      </c>
      <c r="L156" t="str">
        <f>IF(pg_1[[#This Row],[Salary]]&gt;=90000, "Met minimum", "Not met minimum")</f>
        <v>Not met minimum</v>
      </c>
    </row>
    <row r="157" spans="1:12" x14ac:dyDescent="0.25">
      <c r="A157" s="8">
        <v>156</v>
      </c>
      <c r="B157" s="9" t="s">
        <v>199</v>
      </c>
      <c r="C157" s="9" t="s">
        <v>12</v>
      </c>
      <c r="D157" s="9" t="s">
        <v>31</v>
      </c>
      <c r="E157" t="s">
        <v>989</v>
      </c>
      <c r="F157" s="11">
        <v>42820</v>
      </c>
      <c r="G157" s="10">
        <v>984.86</v>
      </c>
      <c r="H157" s="10">
        <v>43804.86</v>
      </c>
      <c r="I157" s="9" t="s">
        <v>21</v>
      </c>
      <c r="J157" s="9" t="s">
        <v>28</v>
      </c>
      <c r="K157" s="4">
        <v>2.3E-2</v>
      </c>
      <c r="L157" t="str">
        <f>IF(pg_1[[#This Row],[Salary]]&gt;=90000, "Met minimum", "Not met minimum")</f>
        <v>Not met minimum</v>
      </c>
    </row>
    <row r="158" spans="1:12" x14ac:dyDescent="0.25">
      <c r="A158" s="8">
        <v>157</v>
      </c>
      <c r="B158" s="9" t="s">
        <v>200</v>
      </c>
      <c r="C158" s="9" t="s">
        <v>12</v>
      </c>
      <c r="D158" s="9" t="s">
        <v>8</v>
      </c>
      <c r="E158" t="s">
        <v>987</v>
      </c>
      <c r="F158" s="11">
        <v>57080</v>
      </c>
      <c r="G158" s="10">
        <v>1198.68</v>
      </c>
      <c r="H158" s="10">
        <v>58278.68</v>
      </c>
      <c r="I158" s="9" t="s">
        <v>21</v>
      </c>
      <c r="J158" s="9" t="s">
        <v>28</v>
      </c>
      <c r="K158" s="4">
        <v>2.1000000000000001E-2</v>
      </c>
      <c r="L158" t="str">
        <f>IF(pg_1[[#This Row],[Salary]]&gt;=90000, "Met minimum", "Not met minimum")</f>
        <v>Not met minimum</v>
      </c>
    </row>
    <row r="159" spans="1:12" x14ac:dyDescent="0.25">
      <c r="A159" s="8">
        <v>158</v>
      </c>
      <c r="B159" s="9" t="s">
        <v>201</v>
      </c>
      <c r="C159" s="9" t="s">
        <v>12</v>
      </c>
      <c r="D159" s="9" t="s">
        <v>67</v>
      </c>
      <c r="E159" t="s">
        <v>988</v>
      </c>
      <c r="F159" s="11">
        <v>101670</v>
      </c>
      <c r="G159" s="10">
        <v>3558.4500000000003</v>
      </c>
      <c r="H159" s="10">
        <v>105228.45</v>
      </c>
      <c r="I159" s="9" t="s">
        <v>21</v>
      </c>
      <c r="J159" s="9" t="s">
        <v>28</v>
      </c>
      <c r="K159" s="4">
        <v>3.5000000000000003E-2</v>
      </c>
      <c r="L159" t="str">
        <f>IF(pg_1[[#This Row],[Salary]]&gt;=90000, "Met minimum", "Not met minimum")</f>
        <v>Met minimum</v>
      </c>
    </row>
    <row r="160" spans="1:12" x14ac:dyDescent="0.25">
      <c r="A160" s="8">
        <v>159</v>
      </c>
      <c r="B160" s="9" t="s">
        <v>202</v>
      </c>
      <c r="C160" s="9" t="s">
        <v>12</v>
      </c>
      <c r="D160" s="9" t="s">
        <v>67</v>
      </c>
      <c r="E160" t="s">
        <v>988</v>
      </c>
      <c r="F160" s="11">
        <v>104750</v>
      </c>
      <c r="G160" s="10">
        <v>3666.2500000000005</v>
      </c>
      <c r="H160" s="10">
        <v>108416.25</v>
      </c>
      <c r="I160" s="9" t="s">
        <v>21</v>
      </c>
      <c r="J160" s="9" t="s">
        <v>28</v>
      </c>
      <c r="K160" s="4">
        <v>3.5000000000000003E-2</v>
      </c>
      <c r="L160" t="str">
        <f>IF(pg_1[[#This Row],[Salary]]&gt;=90000, "Met minimum", "Not met minimum")</f>
        <v>Met minimum</v>
      </c>
    </row>
    <row r="161" spans="1:12" x14ac:dyDescent="0.25">
      <c r="A161" s="8">
        <v>160</v>
      </c>
      <c r="B161" s="9" t="s">
        <v>203</v>
      </c>
      <c r="C161" s="9" t="s">
        <v>7</v>
      </c>
      <c r="D161" s="9" t="s">
        <v>13</v>
      </c>
      <c r="E161" t="s">
        <v>989</v>
      </c>
      <c r="F161" s="11">
        <v>43330</v>
      </c>
      <c r="G161" s="10">
        <v>2643.13</v>
      </c>
      <c r="H161" s="10">
        <v>45973.13</v>
      </c>
      <c r="I161" s="9" t="s">
        <v>17</v>
      </c>
      <c r="J161" s="9" t="s">
        <v>10</v>
      </c>
      <c r="K161" s="4">
        <v>6.0999999999999999E-2</v>
      </c>
      <c r="L161" t="str">
        <f>IF(pg_1[[#This Row],[Salary]]&gt;=90000, "Met minimum", "Not met minimum")</f>
        <v>Not met minimum</v>
      </c>
    </row>
    <row r="162" spans="1:12" x14ac:dyDescent="0.25">
      <c r="A162" s="8">
        <v>161</v>
      </c>
      <c r="B162" s="9" t="s">
        <v>204</v>
      </c>
      <c r="C162" s="9" t="s">
        <v>7</v>
      </c>
      <c r="D162" s="9" t="s">
        <v>53</v>
      </c>
      <c r="E162" t="s">
        <v>986</v>
      </c>
      <c r="F162" s="11">
        <v>61430</v>
      </c>
      <c r="G162" s="10">
        <v>737.16</v>
      </c>
      <c r="H162" s="10">
        <v>62167.16</v>
      </c>
      <c r="I162" s="9" t="s">
        <v>21</v>
      </c>
      <c r="J162" s="9" t="s">
        <v>24</v>
      </c>
      <c r="K162" s="4">
        <v>1.2E-2</v>
      </c>
      <c r="L162" t="str">
        <f>IF(pg_1[[#This Row],[Salary]]&gt;=90000, "Met minimum", "Not met minimum")</f>
        <v>Not met minimum</v>
      </c>
    </row>
    <row r="163" spans="1:12" x14ac:dyDescent="0.25">
      <c r="A163" s="8">
        <v>162</v>
      </c>
      <c r="B163" s="9" t="s">
        <v>205</v>
      </c>
      <c r="C163" s="9" t="s">
        <v>7</v>
      </c>
      <c r="D163" s="9" t="s">
        <v>37</v>
      </c>
      <c r="E163" t="s">
        <v>988</v>
      </c>
      <c r="F163" s="11">
        <v>105800</v>
      </c>
      <c r="G163" s="10">
        <v>6559.6</v>
      </c>
      <c r="H163" s="10">
        <v>112359.6</v>
      </c>
      <c r="I163" s="9" t="s">
        <v>21</v>
      </c>
      <c r="J163" s="9" t="s">
        <v>10</v>
      </c>
      <c r="K163" s="4">
        <v>6.2E-2</v>
      </c>
      <c r="L163" t="str">
        <f>IF(pg_1[[#This Row],[Salary]]&gt;=90000, "Met minimum", "Not met minimum")</f>
        <v>Met minimum</v>
      </c>
    </row>
    <row r="164" spans="1:12" x14ac:dyDescent="0.25">
      <c r="A164" s="8">
        <v>163</v>
      </c>
      <c r="B164" s="9" t="s">
        <v>206</v>
      </c>
      <c r="C164" s="9" t="s">
        <v>7</v>
      </c>
      <c r="D164" s="9" t="s">
        <v>42</v>
      </c>
      <c r="E164" t="s">
        <v>994</v>
      </c>
      <c r="F164" s="11">
        <v>99470</v>
      </c>
      <c r="G164" s="10">
        <v>5868.73</v>
      </c>
      <c r="H164" s="10">
        <v>105338.73</v>
      </c>
      <c r="I164" s="9" t="s">
        <v>21</v>
      </c>
      <c r="J164" s="9" t="s">
        <v>14</v>
      </c>
      <c r="K164" s="4">
        <v>5.8999999999999997E-2</v>
      </c>
      <c r="L164" t="str">
        <f>IF(pg_1[[#This Row],[Salary]]&gt;=90000, "Met minimum", "Not met minimum")</f>
        <v>Met minimum</v>
      </c>
    </row>
    <row r="165" spans="1:12" x14ac:dyDescent="0.25">
      <c r="A165" s="8">
        <v>164</v>
      </c>
      <c r="B165" s="9" t="s">
        <v>207</v>
      </c>
      <c r="C165" s="9" t="s">
        <v>12</v>
      </c>
      <c r="D165" s="9" t="s">
        <v>53</v>
      </c>
      <c r="E165" t="s">
        <v>986</v>
      </c>
      <c r="F165" s="11">
        <v>68890</v>
      </c>
      <c r="G165" s="10">
        <v>3995.6200000000003</v>
      </c>
      <c r="H165" s="10">
        <v>72885.62</v>
      </c>
      <c r="I165" s="9" t="s">
        <v>21</v>
      </c>
      <c r="J165" s="9" t="s">
        <v>14</v>
      </c>
      <c r="K165" s="4">
        <v>5.8000000000000003E-2</v>
      </c>
      <c r="L165" t="str">
        <f>IF(pg_1[[#This Row],[Salary]]&gt;=90000, "Met minimum", "Not met minimum")</f>
        <v>Not met minimum</v>
      </c>
    </row>
    <row r="166" spans="1:12" x14ac:dyDescent="0.25">
      <c r="A166" s="8">
        <v>165</v>
      </c>
      <c r="B166" s="9" t="s">
        <v>209</v>
      </c>
      <c r="C166" s="9" t="s">
        <v>12</v>
      </c>
      <c r="D166" s="9" t="s">
        <v>13</v>
      </c>
      <c r="E166" t="s">
        <v>985</v>
      </c>
      <c r="F166" s="11">
        <v>86940</v>
      </c>
      <c r="G166" s="10">
        <v>3042.9</v>
      </c>
      <c r="H166" s="10">
        <v>89982.9</v>
      </c>
      <c r="I166" s="9" t="s">
        <v>21</v>
      </c>
      <c r="J166" s="9" t="s">
        <v>28</v>
      </c>
      <c r="K166" s="4">
        <v>3.5000000000000003E-2</v>
      </c>
      <c r="L166" t="str">
        <f>IF(pg_1[[#This Row],[Salary]]&gt;=90000, "Met minimum", "Not met minimum")</f>
        <v>Not met minimum</v>
      </c>
    </row>
    <row r="167" spans="1:12" x14ac:dyDescent="0.25">
      <c r="A167" s="8">
        <v>166</v>
      </c>
      <c r="B167" s="9" t="s">
        <v>210</v>
      </c>
      <c r="C167" s="9" t="s">
        <v>7</v>
      </c>
      <c r="D167" s="9" t="s">
        <v>23</v>
      </c>
      <c r="E167" t="s">
        <v>991</v>
      </c>
      <c r="F167" s="11">
        <v>118120</v>
      </c>
      <c r="G167" s="10">
        <v>3307.36</v>
      </c>
      <c r="H167" s="10">
        <v>121427.36</v>
      </c>
      <c r="I167" s="9" t="s">
        <v>9</v>
      </c>
      <c r="J167" s="9" t="s">
        <v>28</v>
      </c>
      <c r="K167" s="4">
        <v>2.8000000000000001E-2</v>
      </c>
      <c r="L167" t="str">
        <f>IF(pg_1[[#This Row],[Salary]]&gt;=90000, "Met minimum", "Not met minimum")</f>
        <v>Met minimum</v>
      </c>
    </row>
    <row r="168" spans="1:12" x14ac:dyDescent="0.25">
      <c r="A168" s="8">
        <v>167</v>
      </c>
      <c r="B168" s="9" t="s">
        <v>211</v>
      </c>
      <c r="C168" s="9" t="s">
        <v>7</v>
      </c>
      <c r="D168" s="9" t="s">
        <v>67</v>
      </c>
      <c r="E168" t="s">
        <v>994</v>
      </c>
      <c r="F168" s="11">
        <v>91120</v>
      </c>
      <c r="G168" s="10">
        <v>1184.56</v>
      </c>
      <c r="H168" s="10">
        <v>92304.56</v>
      </c>
      <c r="I168" s="9" t="s">
        <v>21</v>
      </c>
      <c r="J168" s="9" t="s">
        <v>24</v>
      </c>
      <c r="K168" s="4">
        <v>1.2999999999999999E-2</v>
      </c>
      <c r="L168" t="str">
        <f>IF(pg_1[[#This Row],[Salary]]&gt;=90000, "Met minimum", "Not met minimum")</f>
        <v>Met minimum</v>
      </c>
    </row>
    <row r="169" spans="1:12" x14ac:dyDescent="0.25">
      <c r="A169" s="8">
        <v>168</v>
      </c>
      <c r="B169" s="9" t="s">
        <v>212</v>
      </c>
      <c r="C169" s="9" t="s">
        <v>7</v>
      </c>
      <c r="D169" s="9" t="s">
        <v>50</v>
      </c>
      <c r="E169" t="s">
        <v>989</v>
      </c>
      <c r="F169" s="11">
        <v>41420</v>
      </c>
      <c r="G169" s="10">
        <v>2236.6799999999998</v>
      </c>
      <c r="H169" s="10">
        <v>43656.68</v>
      </c>
      <c r="I169" s="9" t="s">
        <v>17</v>
      </c>
      <c r="J169" s="9" t="s">
        <v>14</v>
      </c>
      <c r="K169" s="4">
        <v>5.3999999999999999E-2</v>
      </c>
      <c r="L169" t="str">
        <f>IF(pg_1[[#This Row],[Salary]]&gt;=90000, "Met minimum", "Not met minimum")</f>
        <v>Not met minimum</v>
      </c>
    </row>
    <row r="170" spans="1:12" x14ac:dyDescent="0.25">
      <c r="A170" s="8">
        <v>169</v>
      </c>
      <c r="B170" s="9" t="s">
        <v>213</v>
      </c>
      <c r="C170" s="9" t="s">
        <v>12</v>
      </c>
      <c r="D170" s="9" t="s">
        <v>42</v>
      </c>
      <c r="E170" t="s">
        <v>985</v>
      </c>
      <c r="F170" s="11">
        <v>86010</v>
      </c>
      <c r="G170" s="10">
        <v>3440.4</v>
      </c>
      <c r="H170" s="10">
        <v>89450.4</v>
      </c>
      <c r="I170" s="9" t="s">
        <v>21</v>
      </c>
      <c r="J170" s="9" t="s">
        <v>28</v>
      </c>
      <c r="K170" s="4">
        <v>0.04</v>
      </c>
      <c r="L170" t="str">
        <f>IF(pg_1[[#This Row],[Salary]]&gt;=90000, "Met minimum", "Not met minimum")</f>
        <v>Not met minimum</v>
      </c>
    </row>
    <row r="171" spans="1:12" x14ac:dyDescent="0.25">
      <c r="A171" s="8">
        <v>170</v>
      </c>
      <c r="B171" s="9" t="s">
        <v>214</v>
      </c>
      <c r="C171" s="9" t="s">
        <v>7</v>
      </c>
      <c r="D171" s="9" t="s">
        <v>23</v>
      </c>
      <c r="E171" t="s">
        <v>990</v>
      </c>
      <c r="F171" s="11">
        <v>30080</v>
      </c>
      <c r="G171" s="10">
        <v>842.24</v>
      </c>
      <c r="H171" s="10">
        <v>30922.240000000002</v>
      </c>
      <c r="I171" s="9" t="s">
        <v>17</v>
      </c>
      <c r="J171" s="9" t="s">
        <v>28</v>
      </c>
      <c r="K171" s="4">
        <v>2.8000000000000001E-2</v>
      </c>
      <c r="L171" t="str">
        <f>IF(pg_1[[#This Row],[Salary]]&gt;=90000, "Met minimum", "Not met minimum")</f>
        <v>Not met minimum</v>
      </c>
    </row>
    <row r="172" spans="1:12" x14ac:dyDescent="0.25">
      <c r="A172" s="8">
        <v>171</v>
      </c>
      <c r="B172" s="9" t="s">
        <v>215</v>
      </c>
      <c r="C172" s="9" t="s">
        <v>7</v>
      </c>
      <c r="D172" s="9" t="s">
        <v>53</v>
      </c>
      <c r="E172" t="s">
        <v>994</v>
      </c>
      <c r="F172" s="11">
        <v>96800</v>
      </c>
      <c r="G172" s="10">
        <v>1936</v>
      </c>
      <c r="H172" s="10">
        <v>98736</v>
      </c>
      <c r="I172" s="9" t="s">
        <v>17</v>
      </c>
      <c r="J172" s="9" t="s">
        <v>28</v>
      </c>
      <c r="K172" s="4">
        <v>0.02</v>
      </c>
      <c r="L172" t="str">
        <f>IF(pg_1[[#This Row],[Salary]]&gt;=90000, "Met minimum", "Not met minimum")</f>
        <v>Met minimum</v>
      </c>
    </row>
    <row r="173" spans="1:12" x14ac:dyDescent="0.25">
      <c r="A173" s="8">
        <v>172</v>
      </c>
      <c r="B173" s="9" t="s">
        <v>216</v>
      </c>
      <c r="C173" s="9" t="s">
        <v>12</v>
      </c>
      <c r="D173" s="9" t="s">
        <v>20</v>
      </c>
      <c r="E173" t="s">
        <v>990</v>
      </c>
      <c r="F173" s="11">
        <v>31090</v>
      </c>
      <c r="G173" s="10">
        <v>652.89</v>
      </c>
      <c r="H173" s="10">
        <v>31742.89</v>
      </c>
      <c r="I173" s="9" t="s">
        <v>9</v>
      </c>
      <c r="J173" s="9" t="s">
        <v>28</v>
      </c>
      <c r="K173" s="4">
        <v>2.1000000000000001E-2</v>
      </c>
      <c r="L173" t="str">
        <f>IF(pg_1[[#This Row],[Salary]]&gt;=90000, "Met minimum", "Not met minimum")</f>
        <v>Not met minimum</v>
      </c>
    </row>
    <row r="174" spans="1:12" x14ac:dyDescent="0.25">
      <c r="A174" s="8">
        <v>173</v>
      </c>
      <c r="B174" s="9" t="s">
        <v>217</v>
      </c>
      <c r="C174" s="9" t="s">
        <v>12</v>
      </c>
      <c r="D174" s="9" t="s">
        <v>42</v>
      </c>
      <c r="E174" t="s">
        <v>994</v>
      </c>
      <c r="F174" s="11">
        <v>96140</v>
      </c>
      <c r="G174" s="10">
        <v>5672.2599999999993</v>
      </c>
      <c r="H174" s="10">
        <v>101812.26</v>
      </c>
      <c r="I174" s="9" t="s">
        <v>9</v>
      </c>
      <c r="J174" s="9" t="s">
        <v>14</v>
      </c>
      <c r="K174" s="4">
        <v>5.8999999999999997E-2</v>
      </c>
      <c r="L174" t="str">
        <f>IF(pg_1[[#This Row],[Salary]]&gt;=90000, "Met minimum", "Not met minimum")</f>
        <v>Met minimum</v>
      </c>
    </row>
    <row r="175" spans="1:12" x14ac:dyDescent="0.25">
      <c r="A175" s="8">
        <v>174</v>
      </c>
      <c r="B175" s="9" t="s">
        <v>218</v>
      </c>
      <c r="C175" s="9" t="s">
        <v>12</v>
      </c>
      <c r="D175" s="9" t="s">
        <v>50</v>
      </c>
      <c r="E175" t="s">
        <v>994</v>
      </c>
      <c r="F175" s="11">
        <v>98640</v>
      </c>
      <c r="G175" s="10">
        <v>5326.5599999999995</v>
      </c>
      <c r="H175" s="10">
        <v>103966.56</v>
      </c>
      <c r="I175" s="9" t="s">
        <v>21</v>
      </c>
      <c r="J175" s="9" t="s">
        <v>14</v>
      </c>
      <c r="K175" s="4">
        <v>5.3999999999999999E-2</v>
      </c>
      <c r="L175" t="str">
        <f>IF(pg_1[[#This Row],[Salary]]&gt;=90000, "Met minimum", "Not met minimum")</f>
        <v>Met minimum</v>
      </c>
    </row>
    <row r="176" spans="1:12" x14ac:dyDescent="0.25">
      <c r="A176" s="8">
        <v>175</v>
      </c>
      <c r="B176" s="9" t="s">
        <v>219</v>
      </c>
      <c r="C176" s="9" t="s">
        <v>12</v>
      </c>
      <c r="D176" s="9" t="s">
        <v>8</v>
      </c>
      <c r="E176" t="s">
        <v>992</v>
      </c>
      <c r="F176" s="11">
        <v>71510</v>
      </c>
      <c r="G176" s="10">
        <v>3647.0099999999998</v>
      </c>
      <c r="H176" s="10">
        <v>75157.009999999995</v>
      </c>
      <c r="I176" s="9" t="s">
        <v>9</v>
      </c>
      <c r="J176" s="9" t="s">
        <v>14</v>
      </c>
      <c r="K176" s="4">
        <v>5.0999999999999997E-2</v>
      </c>
      <c r="L176" t="str">
        <f>IF(pg_1[[#This Row],[Salary]]&gt;=90000, "Met minimum", "Not met minimum")</f>
        <v>Not met minimum</v>
      </c>
    </row>
    <row r="177" spans="1:12" x14ac:dyDescent="0.25">
      <c r="A177" s="8">
        <v>176</v>
      </c>
      <c r="B177" s="9" t="s">
        <v>220</v>
      </c>
      <c r="C177" s="9" t="s">
        <v>12</v>
      </c>
      <c r="D177" s="9" t="s">
        <v>20</v>
      </c>
      <c r="E177" t="s">
        <v>985</v>
      </c>
      <c r="F177" s="11">
        <v>86490</v>
      </c>
      <c r="G177" s="10">
        <v>1643.31</v>
      </c>
      <c r="H177" s="10">
        <v>88133.31</v>
      </c>
      <c r="I177" s="9" t="s">
        <v>21</v>
      </c>
      <c r="J177" s="9" t="s">
        <v>24</v>
      </c>
      <c r="K177" s="4">
        <v>1.9E-2</v>
      </c>
      <c r="L177" t="str">
        <f>IF(pg_1[[#This Row],[Salary]]&gt;=90000, "Met minimum", "Not met minimum")</f>
        <v>Not met minimum</v>
      </c>
    </row>
    <row r="178" spans="1:12" x14ac:dyDescent="0.25">
      <c r="A178" s="8">
        <v>177</v>
      </c>
      <c r="B178" s="9" t="s">
        <v>221</v>
      </c>
      <c r="C178" s="9" t="s">
        <v>970</v>
      </c>
      <c r="D178" s="9" t="s">
        <v>13</v>
      </c>
      <c r="E178" t="s">
        <v>988</v>
      </c>
      <c r="F178" s="11">
        <v>103240</v>
      </c>
      <c r="G178" s="10">
        <v>4439.32</v>
      </c>
      <c r="H178" s="10">
        <v>107679.32</v>
      </c>
      <c r="I178" s="9" t="s">
        <v>21</v>
      </c>
      <c r="J178" s="9" t="s">
        <v>14</v>
      </c>
      <c r="K178" s="4">
        <v>4.2999999999999997E-2</v>
      </c>
      <c r="L178" t="str">
        <f>IF(pg_1[[#This Row],[Salary]]&gt;=90000, "Met minimum", "Not met minimum")</f>
        <v>Met minimum</v>
      </c>
    </row>
    <row r="179" spans="1:12" x14ac:dyDescent="0.25">
      <c r="A179" s="8">
        <v>178</v>
      </c>
      <c r="B179" s="9" t="s">
        <v>222</v>
      </c>
      <c r="C179" s="9" t="s">
        <v>12</v>
      </c>
      <c r="D179" s="9" t="s">
        <v>8</v>
      </c>
      <c r="E179" t="s">
        <v>989</v>
      </c>
      <c r="F179" s="11">
        <v>47550</v>
      </c>
      <c r="G179" s="10">
        <v>998.55000000000007</v>
      </c>
      <c r="H179" s="10">
        <v>48548.55</v>
      </c>
      <c r="I179" s="9" t="s">
        <v>21</v>
      </c>
      <c r="J179" s="9" t="s">
        <v>28</v>
      </c>
      <c r="K179" s="4">
        <v>2.1000000000000001E-2</v>
      </c>
      <c r="L179" t="str">
        <f>IF(pg_1[[#This Row],[Salary]]&gt;=90000, "Met minimum", "Not met minimum")</f>
        <v>Not met minimum</v>
      </c>
    </row>
    <row r="180" spans="1:12" x14ac:dyDescent="0.25">
      <c r="A180" s="8">
        <v>179</v>
      </c>
      <c r="B180" s="9" t="s">
        <v>223</v>
      </c>
      <c r="C180" s="9" t="s">
        <v>7</v>
      </c>
      <c r="D180" s="9" t="s">
        <v>8</v>
      </c>
      <c r="E180" t="s">
        <v>992</v>
      </c>
      <c r="F180" s="11">
        <v>78490</v>
      </c>
      <c r="G180" s="10">
        <v>1648.2900000000002</v>
      </c>
      <c r="H180" s="10">
        <v>80138.289999999994</v>
      </c>
      <c r="I180" s="9" t="s">
        <v>17</v>
      </c>
      <c r="J180" s="9" t="s">
        <v>28</v>
      </c>
      <c r="K180" s="4">
        <v>2.1000000000000001E-2</v>
      </c>
      <c r="L180" t="str">
        <f>IF(pg_1[[#This Row],[Salary]]&gt;=90000, "Met minimum", "Not met minimum")</f>
        <v>Not met minimum</v>
      </c>
    </row>
    <row r="181" spans="1:12" x14ac:dyDescent="0.25">
      <c r="A181" s="8">
        <v>180</v>
      </c>
      <c r="B181" s="9" t="s">
        <v>224</v>
      </c>
      <c r="C181" s="9" t="s">
        <v>12</v>
      </c>
      <c r="D181" s="9" t="s">
        <v>13</v>
      </c>
      <c r="E181" t="s">
        <v>986</v>
      </c>
      <c r="F181" s="11">
        <v>61050</v>
      </c>
      <c r="G181" s="10">
        <v>2136.75</v>
      </c>
      <c r="H181" s="10">
        <v>63186.75</v>
      </c>
      <c r="I181" s="9" t="s">
        <v>17</v>
      </c>
      <c r="J181" s="9" t="s">
        <v>28</v>
      </c>
      <c r="K181" s="4">
        <v>3.5000000000000003E-2</v>
      </c>
      <c r="L181" t="str">
        <f>IF(pg_1[[#This Row],[Salary]]&gt;=90000, "Met minimum", "Not met minimum")</f>
        <v>Not met minimum</v>
      </c>
    </row>
    <row r="182" spans="1:12" x14ac:dyDescent="0.25">
      <c r="A182" s="8">
        <v>181</v>
      </c>
      <c r="B182" s="9" t="s">
        <v>225</v>
      </c>
      <c r="C182" s="9" t="s">
        <v>7</v>
      </c>
      <c r="D182" s="9" t="s">
        <v>37</v>
      </c>
      <c r="E182" t="s">
        <v>990</v>
      </c>
      <c r="F182" s="11">
        <v>36370</v>
      </c>
      <c r="G182" s="10">
        <v>1491.17</v>
      </c>
      <c r="H182" s="10">
        <v>37861.17</v>
      </c>
      <c r="I182" s="9" t="s">
        <v>9</v>
      </c>
      <c r="J182" s="9" t="s">
        <v>14</v>
      </c>
      <c r="K182" s="4">
        <v>4.1000000000000002E-2</v>
      </c>
      <c r="L182" t="str">
        <f>IF(pg_1[[#This Row],[Salary]]&gt;=90000, "Met minimum", "Not met minimum")</f>
        <v>Not met minimum</v>
      </c>
    </row>
    <row r="183" spans="1:12" x14ac:dyDescent="0.25">
      <c r="A183" s="8">
        <v>182</v>
      </c>
      <c r="B183" s="9" t="s">
        <v>226</v>
      </c>
      <c r="C183" s="9" t="s">
        <v>7</v>
      </c>
      <c r="D183" s="9" t="s">
        <v>34</v>
      </c>
      <c r="E183" t="s">
        <v>989</v>
      </c>
      <c r="F183" s="11">
        <v>47290</v>
      </c>
      <c r="G183" s="10">
        <v>1134.96</v>
      </c>
      <c r="H183" s="10">
        <v>48424.959999999999</v>
      </c>
      <c r="I183" s="9" t="s">
        <v>17</v>
      </c>
      <c r="J183" s="9" t="s">
        <v>28</v>
      </c>
      <c r="K183" s="4">
        <v>2.4E-2</v>
      </c>
      <c r="L183" t="str">
        <f>IF(pg_1[[#This Row],[Salary]]&gt;=90000, "Met minimum", "Not met minimum")</f>
        <v>Not met minimum</v>
      </c>
    </row>
    <row r="184" spans="1:12" x14ac:dyDescent="0.25">
      <c r="A184" s="8">
        <v>183</v>
      </c>
      <c r="B184" s="9" t="s">
        <v>227</v>
      </c>
      <c r="C184" s="9" t="s">
        <v>7</v>
      </c>
      <c r="D184" s="9" t="s">
        <v>8</v>
      </c>
      <c r="E184" t="s">
        <v>992</v>
      </c>
      <c r="F184" s="11">
        <v>79650</v>
      </c>
      <c r="G184" s="10">
        <v>4062.1499999999996</v>
      </c>
      <c r="H184" s="10">
        <v>83712.149999999994</v>
      </c>
      <c r="I184" s="9" t="s">
        <v>21</v>
      </c>
      <c r="J184" s="9" t="s">
        <v>14</v>
      </c>
      <c r="K184" s="4">
        <v>5.0999999999999997E-2</v>
      </c>
      <c r="L184" t="str">
        <f>IF(pg_1[[#This Row],[Salary]]&gt;=90000, "Met minimum", "Not met minimum")</f>
        <v>Not met minimum</v>
      </c>
    </row>
    <row r="185" spans="1:12" x14ac:dyDescent="0.25">
      <c r="A185" s="8">
        <v>184</v>
      </c>
      <c r="B185" s="9" t="s">
        <v>228</v>
      </c>
      <c r="C185" s="9" t="s">
        <v>7</v>
      </c>
      <c r="D185" s="9" t="s">
        <v>37</v>
      </c>
      <c r="E185" t="s">
        <v>991</v>
      </c>
      <c r="F185" s="11">
        <v>119660</v>
      </c>
      <c r="G185" s="10">
        <v>3829.12</v>
      </c>
      <c r="H185" s="10">
        <v>123489.12</v>
      </c>
      <c r="I185" s="9" t="s">
        <v>17</v>
      </c>
      <c r="J185" s="9" t="s">
        <v>28</v>
      </c>
      <c r="K185" s="4">
        <v>3.2000000000000001E-2</v>
      </c>
      <c r="L185" t="str">
        <f>IF(pg_1[[#This Row],[Salary]]&gt;=90000, "Met minimum", "Not met minimum")</f>
        <v>Met minimum</v>
      </c>
    </row>
    <row r="186" spans="1:12" x14ac:dyDescent="0.25">
      <c r="A186" s="8">
        <v>185</v>
      </c>
      <c r="B186" s="9" t="s">
        <v>229</v>
      </c>
      <c r="C186" s="9" t="s">
        <v>12</v>
      </c>
      <c r="D186" s="9" t="s">
        <v>23</v>
      </c>
      <c r="E186" t="s">
        <v>989</v>
      </c>
      <c r="F186" s="11">
        <v>43200</v>
      </c>
      <c r="G186" s="10">
        <v>1209.6000000000001</v>
      </c>
      <c r="H186" s="10">
        <v>44409.599999999999</v>
      </c>
      <c r="I186" s="9" t="s">
        <v>17</v>
      </c>
      <c r="J186" s="9" t="s">
        <v>28</v>
      </c>
      <c r="K186" s="4">
        <v>2.8000000000000001E-2</v>
      </c>
      <c r="L186" t="str">
        <f>IF(pg_1[[#This Row],[Salary]]&gt;=90000, "Met minimum", "Not met minimum")</f>
        <v>Not met minimum</v>
      </c>
    </row>
    <row r="187" spans="1:12" x14ac:dyDescent="0.25">
      <c r="A187" s="8">
        <v>186</v>
      </c>
      <c r="B187" s="9" t="s">
        <v>230</v>
      </c>
      <c r="C187" s="9" t="s">
        <v>12</v>
      </c>
      <c r="D187" s="9" t="s">
        <v>37</v>
      </c>
      <c r="E187" t="s">
        <v>985</v>
      </c>
      <c r="F187" s="11">
        <v>89830</v>
      </c>
      <c r="G187" s="10">
        <v>5569.46</v>
      </c>
      <c r="H187" s="10">
        <v>95399.46</v>
      </c>
      <c r="I187" s="9" t="s">
        <v>21</v>
      </c>
      <c r="J187" s="9" t="s">
        <v>10</v>
      </c>
      <c r="K187" s="4">
        <v>6.2E-2</v>
      </c>
      <c r="L187" t="str">
        <f>IF(pg_1[[#This Row],[Salary]]&gt;=90000, "Met minimum", "Not met minimum")</f>
        <v>Not met minimum</v>
      </c>
    </row>
    <row r="188" spans="1:12" x14ac:dyDescent="0.25">
      <c r="A188" s="8">
        <v>187</v>
      </c>
      <c r="B188" s="9" t="s">
        <v>231</v>
      </c>
      <c r="C188" s="9" t="s">
        <v>7</v>
      </c>
      <c r="D188" s="9" t="s">
        <v>53</v>
      </c>
      <c r="E188" t="s">
        <v>994</v>
      </c>
      <c r="F188" s="11">
        <v>91500</v>
      </c>
      <c r="G188" s="10">
        <v>1098</v>
      </c>
      <c r="H188" s="10">
        <v>92598</v>
      </c>
      <c r="I188" s="9" t="s">
        <v>9</v>
      </c>
      <c r="J188" s="9" t="s">
        <v>24</v>
      </c>
      <c r="K188" s="4">
        <v>1.2E-2</v>
      </c>
      <c r="L188" t="str">
        <f>IF(pg_1[[#This Row],[Salary]]&gt;=90000, "Met minimum", "Not met minimum")</f>
        <v>Met minimum</v>
      </c>
    </row>
    <row r="189" spans="1:12" x14ac:dyDescent="0.25">
      <c r="A189" s="8">
        <v>188</v>
      </c>
      <c r="B189" s="9" t="s">
        <v>232</v>
      </c>
      <c r="C189" s="9" t="s">
        <v>12</v>
      </c>
      <c r="D189" s="9" t="s">
        <v>31</v>
      </c>
      <c r="E189" t="s">
        <v>993</v>
      </c>
      <c r="F189" s="11">
        <v>29670</v>
      </c>
      <c r="G189" s="10">
        <v>2136.2399999999998</v>
      </c>
      <c r="H189" s="10">
        <v>31806.239999999998</v>
      </c>
      <c r="I189" s="9" t="s">
        <v>9</v>
      </c>
      <c r="J189" s="9" t="s">
        <v>10</v>
      </c>
      <c r="K189" s="4">
        <v>7.1999999999999995E-2</v>
      </c>
      <c r="L189" t="str">
        <f>IF(pg_1[[#This Row],[Salary]]&gt;=90000, "Met minimum", "Not met minimum")</f>
        <v>Not met minimum</v>
      </c>
    </row>
    <row r="190" spans="1:12" x14ac:dyDescent="0.25">
      <c r="A190" s="8">
        <v>189</v>
      </c>
      <c r="B190" s="9" t="s">
        <v>233</v>
      </c>
      <c r="C190" s="9" t="s">
        <v>12</v>
      </c>
      <c r="D190" s="9" t="s">
        <v>23</v>
      </c>
      <c r="E190" t="s">
        <v>992</v>
      </c>
      <c r="F190" s="11">
        <v>75720</v>
      </c>
      <c r="G190" s="10">
        <v>378.6</v>
      </c>
      <c r="H190" s="10">
        <v>76098.600000000006</v>
      </c>
      <c r="I190" s="9" t="s">
        <v>17</v>
      </c>
      <c r="J190" s="9" t="s">
        <v>51</v>
      </c>
      <c r="K190" s="4">
        <v>5.0000000000000001E-3</v>
      </c>
      <c r="L190" t="str">
        <f>IF(pg_1[[#This Row],[Salary]]&gt;=90000, "Met minimum", "Not met minimum")</f>
        <v>Not met minimum</v>
      </c>
    </row>
    <row r="191" spans="1:12" x14ac:dyDescent="0.25">
      <c r="A191" s="8">
        <v>190</v>
      </c>
      <c r="B191" s="9" t="s">
        <v>235</v>
      </c>
      <c r="C191" s="9" t="s">
        <v>12</v>
      </c>
      <c r="D191" s="9" t="s">
        <v>31</v>
      </c>
      <c r="E191" t="s">
        <v>985</v>
      </c>
      <c r="F191" s="11">
        <v>81900</v>
      </c>
      <c r="G191" s="10">
        <v>1883.7</v>
      </c>
      <c r="H191" s="10">
        <v>83783.7</v>
      </c>
      <c r="I191" s="9" t="s">
        <v>17</v>
      </c>
      <c r="J191" s="9" t="s">
        <v>28</v>
      </c>
      <c r="K191" s="4">
        <v>2.3E-2</v>
      </c>
      <c r="L191" t="str">
        <f>IF(pg_1[[#This Row],[Salary]]&gt;=90000, "Met minimum", "Not met minimum")</f>
        <v>Not met minimum</v>
      </c>
    </row>
    <row r="192" spans="1:12" x14ac:dyDescent="0.25">
      <c r="A192" s="8">
        <v>191</v>
      </c>
      <c r="B192" s="9" t="s">
        <v>236</v>
      </c>
      <c r="C192" s="9" t="s">
        <v>12</v>
      </c>
      <c r="D192" s="9" t="s">
        <v>27</v>
      </c>
      <c r="E192" t="s">
        <v>989</v>
      </c>
      <c r="F192" s="11">
        <v>42380</v>
      </c>
      <c r="G192" s="10">
        <v>2288.52</v>
      </c>
      <c r="H192" s="10">
        <v>44668.52</v>
      </c>
      <c r="I192" s="9" t="s">
        <v>21</v>
      </c>
      <c r="J192" s="9" t="s">
        <v>14</v>
      </c>
      <c r="K192" s="4">
        <v>5.3999999999999999E-2</v>
      </c>
      <c r="L192" t="str">
        <f>IF(pg_1[[#This Row],[Salary]]&gt;=90000, "Met minimum", "Not met minimum")</f>
        <v>Not met minimum</v>
      </c>
    </row>
    <row r="193" spans="1:12" x14ac:dyDescent="0.25">
      <c r="A193" s="8">
        <v>192</v>
      </c>
      <c r="B193" s="9" t="s">
        <v>237</v>
      </c>
      <c r="C193" s="9" t="s">
        <v>7</v>
      </c>
      <c r="D193" s="9" t="s">
        <v>67</v>
      </c>
      <c r="E193" t="s">
        <v>990</v>
      </c>
      <c r="F193" s="11">
        <v>32620</v>
      </c>
      <c r="G193" s="10">
        <v>1891.96</v>
      </c>
      <c r="H193" s="10">
        <v>34511.96</v>
      </c>
      <c r="I193" s="9" t="s">
        <v>21</v>
      </c>
      <c r="J193" s="9" t="s">
        <v>14</v>
      </c>
      <c r="K193" s="4">
        <v>5.8000000000000003E-2</v>
      </c>
      <c r="L193" t="str">
        <f>IF(pg_1[[#This Row],[Salary]]&gt;=90000, "Met minimum", "Not met minimum")</f>
        <v>Not met minimum</v>
      </c>
    </row>
    <row r="194" spans="1:12" x14ac:dyDescent="0.25">
      <c r="A194" s="8">
        <v>193</v>
      </c>
      <c r="B194" s="9" t="s">
        <v>238</v>
      </c>
      <c r="C194" s="9" t="s">
        <v>7</v>
      </c>
      <c r="D194" s="9" t="s">
        <v>67</v>
      </c>
      <c r="E194" t="s">
        <v>992</v>
      </c>
      <c r="F194" s="11">
        <v>72040</v>
      </c>
      <c r="G194" s="10">
        <v>2521.4</v>
      </c>
      <c r="H194" s="10">
        <v>74561.399999999994</v>
      </c>
      <c r="I194" s="9" t="s">
        <v>17</v>
      </c>
      <c r="J194" s="9" t="s">
        <v>28</v>
      </c>
      <c r="K194" s="4">
        <v>3.5000000000000003E-2</v>
      </c>
      <c r="L194" t="str">
        <f>IF(pg_1[[#This Row],[Salary]]&gt;=90000, "Met minimum", "Not met minimum")</f>
        <v>Not met minimum</v>
      </c>
    </row>
    <row r="195" spans="1:12" x14ac:dyDescent="0.25">
      <c r="A195" s="8">
        <v>194</v>
      </c>
      <c r="B195" s="9" t="s">
        <v>239</v>
      </c>
      <c r="C195" s="9" t="s">
        <v>7</v>
      </c>
      <c r="D195" s="9" t="s">
        <v>37</v>
      </c>
      <c r="E195" t="s">
        <v>992</v>
      </c>
      <c r="F195" s="11">
        <v>77740</v>
      </c>
      <c r="G195" s="10">
        <v>3187.34</v>
      </c>
      <c r="H195" s="10">
        <v>80927.34</v>
      </c>
      <c r="I195" s="9" t="s">
        <v>17</v>
      </c>
      <c r="J195" s="9" t="s">
        <v>14</v>
      </c>
      <c r="K195" s="4">
        <v>4.1000000000000002E-2</v>
      </c>
      <c r="L195" t="str">
        <f>IF(pg_1[[#This Row],[Salary]]&gt;=90000, "Met minimum", "Not met minimum")</f>
        <v>Not met minimum</v>
      </c>
    </row>
    <row r="196" spans="1:12" x14ac:dyDescent="0.25">
      <c r="A196" s="8">
        <v>195</v>
      </c>
      <c r="B196" s="9" t="s">
        <v>240</v>
      </c>
      <c r="C196" s="9" t="s">
        <v>7</v>
      </c>
      <c r="D196" s="9" t="s">
        <v>34</v>
      </c>
      <c r="E196" t="s">
        <v>988</v>
      </c>
      <c r="F196" s="11">
        <v>102140</v>
      </c>
      <c r="G196" s="10">
        <v>2451.36</v>
      </c>
      <c r="H196" s="10">
        <v>104591.36</v>
      </c>
      <c r="I196" s="9" t="s">
        <v>21</v>
      </c>
      <c r="J196" s="9" t="s">
        <v>28</v>
      </c>
      <c r="K196" s="4">
        <v>2.4E-2</v>
      </c>
      <c r="L196" t="str">
        <f>IF(pg_1[[#This Row],[Salary]]&gt;=90000, "Met minimum", "Not met minimum")</f>
        <v>Met minimum</v>
      </c>
    </row>
    <row r="197" spans="1:12" x14ac:dyDescent="0.25">
      <c r="A197" s="8">
        <v>196</v>
      </c>
      <c r="B197" s="9" t="s">
        <v>241</v>
      </c>
      <c r="C197" s="9" t="s">
        <v>7</v>
      </c>
      <c r="D197" s="9" t="s">
        <v>20</v>
      </c>
      <c r="E197" t="s">
        <v>989</v>
      </c>
      <c r="F197" s="11">
        <v>48630</v>
      </c>
      <c r="G197" s="10">
        <v>0</v>
      </c>
      <c r="H197" s="10">
        <v>48630</v>
      </c>
      <c r="I197" s="9" t="s">
        <v>21</v>
      </c>
      <c r="J197" s="9" t="s">
        <v>18</v>
      </c>
      <c r="K197" s="4">
        <v>0</v>
      </c>
      <c r="L197" t="str">
        <f>IF(pg_1[[#This Row],[Salary]]&gt;=90000, "Met minimum", "Not met minimum")</f>
        <v>Not met minimum</v>
      </c>
    </row>
    <row r="198" spans="1:12" x14ac:dyDescent="0.25">
      <c r="A198" s="8">
        <v>197</v>
      </c>
      <c r="B198" s="9" t="s">
        <v>242</v>
      </c>
      <c r="C198" s="9" t="s">
        <v>12</v>
      </c>
      <c r="D198" s="9" t="s">
        <v>20</v>
      </c>
      <c r="E198" t="s">
        <v>988</v>
      </c>
      <c r="F198" s="11">
        <v>105960</v>
      </c>
      <c r="G198" s="10">
        <v>2013.24</v>
      </c>
      <c r="H198" s="10">
        <v>107973.24</v>
      </c>
      <c r="I198" s="9" t="s">
        <v>17</v>
      </c>
      <c r="J198" s="9" t="s">
        <v>24</v>
      </c>
      <c r="K198" s="4">
        <v>1.9E-2</v>
      </c>
      <c r="L198" t="str">
        <f>IF(pg_1[[#This Row],[Salary]]&gt;=90000, "Met minimum", "Not met minimum")</f>
        <v>Met minimum</v>
      </c>
    </row>
    <row r="199" spans="1:12" x14ac:dyDescent="0.25">
      <c r="A199" s="8">
        <v>198</v>
      </c>
      <c r="B199" s="9" t="s">
        <v>243</v>
      </c>
      <c r="C199" s="9" t="s">
        <v>12</v>
      </c>
      <c r="D199" s="9" t="s">
        <v>50</v>
      </c>
      <c r="E199" t="s">
        <v>994</v>
      </c>
      <c r="F199" s="11">
        <v>97400</v>
      </c>
      <c r="G199" s="10">
        <v>5259.6</v>
      </c>
      <c r="H199" s="10">
        <v>102659.6</v>
      </c>
      <c r="I199" s="9" t="s">
        <v>9</v>
      </c>
      <c r="J199" s="9" t="s">
        <v>14</v>
      </c>
      <c r="K199" s="4">
        <v>5.3999999999999999E-2</v>
      </c>
      <c r="L199" t="str">
        <f>IF(pg_1[[#This Row],[Salary]]&gt;=90000, "Met minimum", "Not met minimum")</f>
        <v>Met minimum</v>
      </c>
    </row>
    <row r="200" spans="1:12" x14ac:dyDescent="0.25">
      <c r="A200" s="8">
        <v>199</v>
      </c>
      <c r="B200" s="9" t="s">
        <v>244</v>
      </c>
      <c r="C200" s="9" t="s">
        <v>970</v>
      </c>
      <c r="D200" s="9" t="s">
        <v>27</v>
      </c>
      <c r="E200" t="s">
        <v>994</v>
      </c>
      <c r="F200" s="11">
        <v>99450</v>
      </c>
      <c r="G200" s="10">
        <v>2685.15</v>
      </c>
      <c r="H200" s="10">
        <v>102135.15</v>
      </c>
      <c r="I200" s="9" t="s">
        <v>17</v>
      </c>
      <c r="J200" s="9" t="s">
        <v>28</v>
      </c>
      <c r="K200" s="4">
        <v>2.7E-2</v>
      </c>
      <c r="L200" t="str">
        <f>IF(pg_1[[#This Row],[Salary]]&gt;=90000, "Met minimum", "Not met minimum")</f>
        <v>Met minimum</v>
      </c>
    </row>
    <row r="201" spans="1:12" x14ac:dyDescent="0.25">
      <c r="A201" s="8">
        <v>200</v>
      </c>
      <c r="B201" s="9" t="s">
        <v>245</v>
      </c>
      <c r="C201" s="9" t="s">
        <v>7</v>
      </c>
      <c r="D201" s="9" t="s">
        <v>53</v>
      </c>
      <c r="E201" t="s">
        <v>985</v>
      </c>
      <c r="F201" s="11">
        <v>82670</v>
      </c>
      <c r="G201" s="10">
        <v>1653.4</v>
      </c>
      <c r="H201" s="10">
        <v>84323.4</v>
      </c>
      <c r="I201" s="9" t="s">
        <v>21</v>
      </c>
      <c r="J201" s="9" t="s">
        <v>28</v>
      </c>
      <c r="K201" s="4">
        <v>0.02</v>
      </c>
      <c r="L201" t="str">
        <f>IF(pg_1[[#This Row],[Salary]]&gt;=90000, "Met minimum", "Not met minimum")</f>
        <v>Not met minimum</v>
      </c>
    </row>
    <row r="202" spans="1:12" x14ac:dyDescent="0.25">
      <c r="A202" s="8">
        <v>201</v>
      </c>
      <c r="B202" s="9" t="s">
        <v>246</v>
      </c>
      <c r="C202" s="9" t="s">
        <v>12</v>
      </c>
      <c r="D202" s="9" t="s">
        <v>67</v>
      </c>
      <c r="E202" t="s">
        <v>994</v>
      </c>
      <c r="F202" s="11">
        <v>99200</v>
      </c>
      <c r="G202" s="10">
        <v>9820.8000000000011</v>
      </c>
      <c r="H202" s="10">
        <v>109020.8</v>
      </c>
      <c r="I202" s="9" t="s">
        <v>9</v>
      </c>
      <c r="J202" s="9" t="s">
        <v>10</v>
      </c>
      <c r="K202" s="4">
        <v>9.9000000000000005E-2</v>
      </c>
      <c r="L202" t="str">
        <f>IF(pg_1[[#This Row],[Salary]]&gt;=90000, "Met minimum", "Not met minimum")</f>
        <v>Met minimum</v>
      </c>
    </row>
    <row r="203" spans="1:12" x14ac:dyDescent="0.25">
      <c r="A203" s="8">
        <v>202</v>
      </c>
      <c r="B203" s="9" t="s">
        <v>247</v>
      </c>
      <c r="C203" s="9" t="s">
        <v>7</v>
      </c>
      <c r="D203" s="9" t="s">
        <v>20</v>
      </c>
      <c r="E203" t="s">
        <v>991</v>
      </c>
      <c r="F203" s="11">
        <v>111480</v>
      </c>
      <c r="G203" s="10">
        <v>2118.12</v>
      </c>
      <c r="H203" s="10">
        <v>113598.12</v>
      </c>
      <c r="I203" s="9" t="s">
        <v>21</v>
      </c>
      <c r="J203" s="9" t="s">
        <v>24</v>
      </c>
      <c r="K203" s="4">
        <v>1.9E-2</v>
      </c>
      <c r="L203" t="str">
        <f>IF(pg_1[[#This Row],[Salary]]&gt;=90000, "Met minimum", "Not met minimum")</f>
        <v>Met minimum</v>
      </c>
    </row>
    <row r="204" spans="1:12" x14ac:dyDescent="0.25">
      <c r="A204" s="8">
        <v>203</v>
      </c>
      <c r="B204" s="9" t="s">
        <v>248</v>
      </c>
      <c r="C204" s="9" t="s">
        <v>7</v>
      </c>
      <c r="D204" s="9" t="s">
        <v>50</v>
      </c>
      <c r="E204" t="s">
        <v>985</v>
      </c>
      <c r="F204" s="11">
        <v>84940</v>
      </c>
      <c r="G204" s="10">
        <v>1698.8</v>
      </c>
      <c r="H204" s="10">
        <v>86638.8</v>
      </c>
      <c r="I204" s="9" t="s">
        <v>21</v>
      </c>
      <c r="J204" s="9" t="s">
        <v>24</v>
      </c>
      <c r="K204" s="4">
        <v>0.02</v>
      </c>
      <c r="L204" t="str">
        <f>IF(pg_1[[#This Row],[Salary]]&gt;=90000, "Met minimum", "Not met minimum")</f>
        <v>Not met minimum</v>
      </c>
    </row>
    <row r="205" spans="1:12" x14ac:dyDescent="0.25">
      <c r="A205" s="8">
        <v>204</v>
      </c>
      <c r="B205" s="9" t="s">
        <v>249</v>
      </c>
      <c r="C205" s="9" t="s">
        <v>12</v>
      </c>
      <c r="D205" s="9" t="s">
        <v>23</v>
      </c>
      <c r="E205" t="s">
        <v>994</v>
      </c>
      <c r="F205" s="11">
        <v>95340</v>
      </c>
      <c r="G205" s="10">
        <v>953.4</v>
      </c>
      <c r="H205" s="10">
        <v>96293.4</v>
      </c>
      <c r="I205" s="9" t="s">
        <v>9</v>
      </c>
      <c r="J205" s="9" t="s">
        <v>24</v>
      </c>
      <c r="K205" s="4">
        <v>0.01</v>
      </c>
      <c r="L205" t="str">
        <f>IF(pg_1[[#This Row],[Salary]]&gt;=90000, "Met minimum", "Not met minimum")</f>
        <v>Met minimum</v>
      </c>
    </row>
    <row r="206" spans="1:12" x14ac:dyDescent="0.25">
      <c r="A206" s="8">
        <v>205</v>
      </c>
      <c r="B206" s="9" t="s">
        <v>250</v>
      </c>
      <c r="C206" s="9" t="s">
        <v>12</v>
      </c>
      <c r="D206" s="9" t="s">
        <v>37</v>
      </c>
      <c r="E206" t="s">
        <v>989</v>
      </c>
      <c r="F206" s="11">
        <v>47960</v>
      </c>
      <c r="G206" s="10">
        <v>479.6</v>
      </c>
      <c r="H206" s="10">
        <v>48439.6</v>
      </c>
      <c r="I206" s="9" t="s">
        <v>21</v>
      </c>
      <c r="J206" s="9" t="s">
        <v>24</v>
      </c>
      <c r="K206" s="4">
        <v>0.01</v>
      </c>
      <c r="L206" t="str">
        <f>IF(pg_1[[#This Row],[Salary]]&gt;=90000, "Met minimum", "Not met minimum")</f>
        <v>Not met minimum</v>
      </c>
    </row>
    <row r="207" spans="1:12" x14ac:dyDescent="0.25">
      <c r="A207" s="8">
        <v>206</v>
      </c>
      <c r="B207" s="9" t="s">
        <v>251</v>
      </c>
      <c r="C207" s="9" t="s">
        <v>970</v>
      </c>
      <c r="D207" s="9" t="s">
        <v>50</v>
      </c>
      <c r="E207" t="s">
        <v>987</v>
      </c>
      <c r="F207" s="11">
        <v>56710</v>
      </c>
      <c r="G207" s="10">
        <v>1871.43</v>
      </c>
      <c r="H207" s="10">
        <v>58581.43</v>
      </c>
      <c r="I207" s="9" t="s">
        <v>21</v>
      </c>
      <c r="J207" s="9" t="s">
        <v>28</v>
      </c>
      <c r="K207" s="4">
        <v>3.3000000000000002E-2</v>
      </c>
      <c r="L207" t="str">
        <f>IF(pg_1[[#This Row],[Salary]]&gt;=90000, "Met minimum", "Not met minimum")</f>
        <v>Not met minimum</v>
      </c>
    </row>
    <row r="208" spans="1:12" x14ac:dyDescent="0.25">
      <c r="A208" s="8">
        <v>207</v>
      </c>
      <c r="B208" s="9" t="s">
        <v>252</v>
      </c>
      <c r="C208" s="9" t="s">
        <v>12</v>
      </c>
      <c r="D208" s="9" t="s">
        <v>27</v>
      </c>
      <c r="E208" t="s">
        <v>992</v>
      </c>
      <c r="F208" s="11">
        <v>71180</v>
      </c>
      <c r="G208" s="10">
        <v>3843.72</v>
      </c>
      <c r="H208" s="10">
        <v>75023.72</v>
      </c>
      <c r="I208" s="9" t="s">
        <v>17</v>
      </c>
      <c r="J208" s="9" t="s">
        <v>14</v>
      </c>
      <c r="K208" s="4">
        <v>5.3999999999999999E-2</v>
      </c>
      <c r="L208" t="str">
        <f>IF(pg_1[[#This Row],[Salary]]&gt;=90000, "Met minimum", "Not met minimum")</f>
        <v>Not met minimum</v>
      </c>
    </row>
    <row r="209" spans="1:12" x14ac:dyDescent="0.25">
      <c r="A209" s="8">
        <v>208</v>
      </c>
      <c r="B209" s="9" t="s">
        <v>254</v>
      </c>
      <c r="C209" s="9" t="s">
        <v>12</v>
      </c>
      <c r="D209" s="9" t="s">
        <v>50</v>
      </c>
      <c r="E209" t="s">
        <v>992</v>
      </c>
      <c r="F209" s="11">
        <v>78180</v>
      </c>
      <c r="G209" s="10">
        <v>6567.1200000000008</v>
      </c>
      <c r="H209" s="10">
        <v>84747.12</v>
      </c>
      <c r="I209" s="9" t="s">
        <v>9</v>
      </c>
      <c r="J209" s="9" t="s">
        <v>10</v>
      </c>
      <c r="K209" s="4">
        <v>8.4000000000000005E-2</v>
      </c>
      <c r="L209" t="str">
        <f>IF(pg_1[[#This Row],[Salary]]&gt;=90000, "Met minimum", "Not met minimum")</f>
        <v>Not met minimum</v>
      </c>
    </row>
    <row r="210" spans="1:12" x14ac:dyDescent="0.25">
      <c r="A210" s="8">
        <v>209</v>
      </c>
      <c r="B210" s="9" t="s">
        <v>255</v>
      </c>
      <c r="C210" s="9" t="s">
        <v>12</v>
      </c>
      <c r="D210" s="9" t="s">
        <v>42</v>
      </c>
      <c r="E210" t="s">
        <v>985</v>
      </c>
      <c r="F210" s="11">
        <v>84750</v>
      </c>
      <c r="G210" s="10">
        <v>3390</v>
      </c>
      <c r="H210" s="10">
        <v>88140</v>
      </c>
      <c r="I210" s="9" t="s">
        <v>9</v>
      </c>
      <c r="J210" s="9" t="s">
        <v>28</v>
      </c>
      <c r="K210" s="4">
        <v>0.04</v>
      </c>
      <c r="L210" t="str">
        <f>IF(pg_1[[#This Row],[Salary]]&gt;=90000, "Met minimum", "Not met minimum")</f>
        <v>Not met minimum</v>
      </c>
    </row>
    <row r="211" spans="1:12" x14ac:dyDescent="0.25">
      <c r="A211" s="8">
        <v>210</v>
      </c>
      <c r="B211" s="9" t="s">
        <v>256</v>
      </c>
      <c r="C211" s="9" t="s">
        <v>12</v>
      </c>
      <c r="D211" s="9" t="s">
        <v>20</v>
      </c>
      <c r="E211" t="s">
        <v>994</v>
      </c>
      <c r="F211" s="11">
        <v>98970</v>
      </c>
      <c r="G211" s="10">
        <v>0</v>
      </c>
      <c r="H211" s="10">
        <v>98970</v>
      </c>
      <c r="I211" s="9" t="s">
        <v>9</v>
      </c>
      <c r="J211" s="9" t="s">
        <v>18</v>
      </c>
      <c r="K211" s="4">
        <v>0</v>
      </c>
      <c r="L211" t="str">
        <f>IF(pg_1[[#This Row],[Salary]]&gt;=90000, "Met minimum", "Not met minimum")</f>
        <v>Met minimum</v>
      </c>
    </row>
    <row r="212" spans="1:12" x14ac:dyDescent="0.25">
      <c r="A212" s="8">
        <v>211</v>
      </c>
      <c r="B212" s="9" t="s">
        <v>257</v>
      </c>
      <c r="C212" s="9" t="s">
        <v>7</v>
      </c>
      <c r="D212" s="9" t="s">
        <v>37</v>
      </c>
      <c r="E212" t="s">
        <v>992</v>
      </c>
      <c r="F212" s="11">
        <v>76560</v>
      </c>
      <c r="G212" s="10">
        <v>3138.96</v>
      </c>
      <c r="H212" s="10">
        <v>79698.960000000006</v>
      </c>
      <c r="I212" s="9" t="s">
        <v>21</v>
      </c>
      <c r="J212" s="9" t="s">
        <v>14</v>
      </c>
      <c r="K212" s="4">
        <v>4.1000000000000002E-2</v>
      </c>
      <c r="L212" t="str">
        <f>IF(pg_1[[#This Row],[Salary]]&gt;=90000, "Met minimum", "Not met minimum")</f>
        <v>Not met minimum</v>
      </c>
    </row>
    <row r="213" spans="1:12" x14ac:dyDescent="0.25">
      <c r="A213" s="8">
        <v>212</v>
      </c>
      <c r="B213" s="9" t="s">
        <v>259</v>
      </c>
      <c r="C213" s="9" t="s">
        <v>12</v>
      </c>
      <c r="D213" s="9" t="s">
        <v>8</v>
      </c>
      <c r="E213" t="s">
        <v>990</v>
      </c>
      <c r="F213" s="11">
        <v>35930</v>
      </c>
      <c r="G213" s="10">
        <v>754.53000000000009</v>
      </c>
      <c r="H213" s="10">
        <v>36684.53</v>
      </c>
      <c r="I213" s="9" t="s">
        <v>17</v>
      </c>
      <c r="J213" s="9" t="s">
        <v>28</v>
      </c>
      <c r="K213" s="4">
        <v>2.1000000000000001E-2</v>
      </c>
      <c r="L213" t="str">
        <f>IF(pg_1[[#This Row],[Salary]]&gt;=90000, "Met minimum", "Not met minimum")</f>
        <v>Not met minimum</v>
      </c>
    </row>
    <row r="214" spans="1:12" x14ac:dyDescent="0.25">
      <c r="A214" s="8">
        <v>213</v>
      </c>
      <c r="B214" s="9" t="s">
        <v>260</v>
      </c>
      <c r="C214" s="9" t="s">
        <v>12</v>
      </c>
      <c r="D214" s="9" t="s">
        <v>8</v>
      </c>
      <c r="E214" t="s">
        <v>988</v>
      </c>
      <c r="F214" s="11">
        <v>104410</v>
      </c>
      <c r="G214" s="10">
        <v>2192.61</v>
      </c>
      <c r="H214" s="10">
        <v>106602.61</v>
      </c>
      <c r="I214" s="9" t="s">
        <v>21</v>
      </c>
      <c r="J214" s="9" t="s">
        <v>28</v>
      </c>
      <c r="K214" s="4">
        <v>2.1000000000000001E-2</v>
      </c>
      <c r="L214" t="str">
        <f>IF(pg_1[[#This Row],[Salary]]&gt;=90000, "Met minimum", "Not met minimum")</f>
        <v>Met minimum</v>
      </c>
    </row>
    <row r="215" spans="1:12" x14ac:dyDescent="0.25">
      <c r="A215" s="8">
        <v>214</v>
      </c>
      <c r="B215" s="9" t="s">
        <v>261</v>
      </c>
      <c r="C215" s="9" t="s">
        <v>12</v>
      </c>
      <c r="D215" s="9" t="s">
        <v>8</v>
      </c>
      <c r="E215" t="s">
        <v>985</v>
      </c>
      <c r="F215" s="11">
        <v>84600</v>
      </c>
      <c r="G215" s="10">
        <v>423</v>
      </c>
      <c r="H215" s="10">
        <v>85023</v>
      </c>
      <c r="I215" s="9" t="s">
        <v>17</v>
      </c>
      <c r="J215" s="9" t="s">
        <v>51</v>
      </c>
      <c r="K215" s="4">
        <v>5.0000000000000001E-3</v>
      </c>
      <c r="L215" t="str">
        <f>IF(pg_1[[#This Row],[Salary]]&gt;=90000, "Met minimum", "Not met minimum")</f>
        <v>Not met minimum</v>
      </c>
    </row>
    <row r="216" spans="1:12" x14ac:dyDescent="0.25">
      <c r="A216" s="8">
        <v>215</v>
      </c>
      <c r="B216" s="9" t="s">
        <v>262</v>
      </c>
      <c r="C216" s="9" t="s">
        <v>12</v>
      </c>
      <c r="D216" s="9" t="s">
        <v>37</v>
      </c>
      <c r="E216" t="s">
        <v>986</v>
      </c>
      <c r="F216" s="11">
        <v>68800</v>
      </c>
      <c r="G216" s="10">
        <v>688</v>
      </c>
      <c r="H216" s="10">
        <v>69488</v>
      </c>
      <c r="I216" s="9" t="s">
        <v>9</v>
      </c>
      <c r="J216" s="9" t="s">
        <v>24</v>
      </c>
      <c r="K216" s="4">
        <v>0.01</v>
      </c>
      <c r="L216" t="str">
        <f>IF(pg_1[[#This Row],[Salary]]&gt;=90000, "Met minimum", "Not met minimum")</f>
        <v>Not met minimum</v>
      </c>
    </row>
    <row r="217" spans="1:12" x14ac:dyDescent="0.25">
      <c r="A217" s="8">
        <v>216</v>
      </c>
      <c r="B217" s="9" t="s">
        <v>264</v>
      </c>
      <c r="C217" s="9" t="s">
        <v>7</v>
      </c>
      <c r="D217" s="9" t="s">
        <v>27</v>
      </c>
      <c r="E217" t="s">
        <v>985</v>
      </c>
      <c r="F217" s="11">
        <v>86560</v>
      </c>
      <c r="G217" s="10">
        <v>2337.12</v>
      </c>
      <c r="H217" s="10">
        <v>88897.12</v>
      </c>
      <c r="I217" s="9" t="s">
        <v>17</v>
      </c>
      <c r="J217" s="9" t="s">
        <v>28</v>
      </c>
      <c r="K217" s="4">
        <v>2.7E-2</v>
      </c>
      <c r="L217" t="str">
        <f>IF(pg_1[[#This Row],[Salary]]&gt;=90000, "Met minimum", "Not met minimum")</f>
        <v>Not met minimum</v>
      </c>
    </row>
    <row r="218" spans="1:12" x14ac:dyDescent="0.25">
      <c r="A218" s="8">
        <v>217</v>
      </c>
      <c r="B218" s="9" t="s">
        <v>265</v>
      </c>
      <c r="C218" s="9" t="s">
        <v>12</v>
      </c>
      <c r="D218" s="9" t="s">
        <v>23</v>
      </c>
      <c r="E218" t="s">
        <v>988</v>
      </c>
      <c r="F218" s="11">
        <v>107340</v>
      </c>
      <c r="G218" s="10">
        <v>3005.52</v>
      </c>
      <c r="H218" s="10">
        <v>110345.52</v>
      </c>
      <c r="I218" s="9" t="s">
        <v>17</v>
      </c>
      <c r="J218" s="9" t="s">
        <v>28</v>
      </c>
      <c r="K218" s="4">
        <v>2.8000000000000001E-2</v>
      </c>
      <c r="L218" t="str">
        <f>IF(pg_1[[#This Row],[Salary]]&gt;=90000, "Met minimum", "Not met minimum")</f>
        <v>Met minimum</v>
      </c>
    </row>
    <row r="219" spans="1:12" x14ac:dyDescent="0.25">
      <c r="A219" s="8">
        <v>218</v>
      </c>
      <c r="B219" s="9" t="s">
        <v>266</v>
      </c>
      <c r="C219" s="9" t="s">
        <v>12</v>
      </c>
      <c r="D219" s="9" t="s">
        <v>20</v>
      </c>
      <c r="E219" t="s">
        <v>991</v>
      </c>
      <c r="F219" s="11">
        <v>111050</v>
      </c>
      <c r="G219" s="10">
        <v>7107.2</v>
      </c>
      <c r="H219" s="10">
        <v>118157.2</v>
      </c>
      <c r="I219" s="9" t="s">
        <v>17</v>
      </c>
      <c r="J219" s="9" t="s">
        <v>10</v>
      </c>
      <c r="K219" s="4">
        <v>6.4000000000000001E-2</v>
      </c>
      <c r="L219" t="str">
        <f>IF(pg_1[[#This Row],[Salary]]&gt;=90000, "Met minimum", "Not met minimum")</f>
        <v>Met minimum</v>
      </c>
    </row>
    <row r="220" spans="1:12" x14ac:dyDescent="0.25">
      <c r="A220" s="8">
        <v>219</v>
      </c>
      <c r="B220" s="9" t="s">
        <v>268</v>
      </c>
      <c r="C220" s="9" t="s">
        <v>7</v>
      </c>
      <c r="D220" s="9" t="s">
        <v>42</v>
      </c>
      <c r="E220" t="s">
        <v>992</v>
      </c>
      <c r="F220" s="11">
        <v>75320</v>
      </c>
      <c r="G220" s="10">
        <v>376.6</v>
      </c>
      <c r="H220" s="10">
        <v>75696.600000000006</v>
      </c>
      <c r="I220" s="9" t="s">
        <v>9</v>
      </c>
      <c r="J220" s="9" t="s">
        <v>51</v>
      </c>
      <c r="K220" s="4">
        <v>5.0000000000000001E-3</v>
      </c>
      <c r="L220" t="str">
        <f>IF(pg_1[[#This Row],[Salary]]&gt;=90000, "Met minimum", "Not met minimum")</f>
        <v>Not met minimum</v>
      </c>
    </row>
    <row r="221" spans="1:12" x14ac:dyDescent="0.25">
      <c r="A221" s="8">
        <v>220</v>
      </c>
      <c r="B221" s="9" t="s">
        <v>269</v>
      </c>
      <c r="C221" s="9" t="s">
        <v>7</v>
      </c>
      <c r="D221" s="9" t="s">
        <v>20</v>
      </c>
      <c r="E221" t="s">
        <v>987</v>
      </c>
      <c r="F221" s="11">
        <v>57910</v>
      </c>
      <c r="G221" s="10">
        <v>1216.1100000000001</v>
      </c>
      <c r="H221" s="10">
        <v>59126.11</v>
      </c>
      <c r="I221" s="9" t="s">
        <v>21</v>
      </c>
      <c r="J221" s="9" t="s">
        <v>28</v>
      </c>
      <c r="K221" s="4">
        <v>2.1000000000000001E-2</v>
      </c>
      <c r="L221" t="str">
        <f>IF(pg_1[[#This Row],[Salary]]&gt;=90000, "Met minimum", "Not met minimum")</f>
        <v>Not met minimum</v>
      </c>
    </row>
    <row r="222" spans="1:12" x14ac:dyDescent="0.25">
      <c r="A222" s="8">
        <v>221</v>
      </c>
      <c r="B222" s="9" t="s">
        <v>270</v>
      </c>
      <c r="C222" s="9" t="s">
        <v>12</v>
      </c>
      <c r="D222" s="9" t="s">
        <v>20</v>
      </c>
      <c r="E222" t="s">
        <v>993</v>
      </c>
      <c r="F222" s="11">
        <v>29490</v>
      </c>
      <c r="G222" s="10">
        <v>0</v>
      </c>
      <c r="H222" s="10">
        <v>29490</v>
      </c>
      <c r="I222" s="9" t="s">
        <v>17</v>
      </c>
      <c r="J222" s="9" t="s">
        <v>18</v>
      </c>
      <c r="K222" s="4">
        <v>0</v>
      </c>
      <c r="L222" t="str">
        <f>IF(pg_1[[#This Row],[Salary]]&gt;=90000, "Met minimum", "Not met minimum")</f>
        <v>Not met minimum</v>
      </c>
    </row>
    <row r="223" spans="1:12" x14ac:dyDescent="0.25">
      <c r="A223" s="8">
        <v>222</v>
      </c>
      <c r="B223" s="9" t="s">
        <v>271</v>
      </c>
      <c r="C223" s="9" t="s">
        <v>7</v>
      </c>
      <c r="D223" s="9" t="s">
        <v>27</v>
      </c>
      <c r="E223" t="s">
        <v>987</v>
      </c>
      <c r="F223" s="11">
        <v>52670</v>
      </c>
      <c r="G223" s="10">
        <v>1422.09</v>
      </c>
      <c r="H223" s="10">
        <v>54092.09</v>
      </c>
      <c r="I223" s="9" t="s">
        <v>21</v>
      </c>
      <c r="J223" s="9" t="s">
        <v>28</v>
      </c>
      <c r="K223" s="4">
        <v>2.7E-2</v>
      </c>
      <c r="L223" t="str">
        <f>IF(pg_1[[#This Row],[Salary]]&gt;=90000, "Met minimum", "Not met minimum")</f>
        <v>Not met minimum</v>
      </c>
    </row>
    <row r="224" spans="1:12" x14ac:dyDescent="0.25">
      <c r="A224" s="8">
        <v>223</v>
      </c>
      <c r="B224" s="9" t="s">
        <v>272</v>
      </c>
      <c r="C224" s="9" t="s">
        <v>7</v>
      </c>
      <c r="D224" s="9" t="s">
        <v>53</v>
      </c>
      <c r="E224" t="s">
        <v>989</v>
      </c>
      <c r="F224" s="11">
        <v>48530</v>
      </c>
      <c r="G224" s="10">
        <v>970.6</v>
      </c>
      <c r="H224" s="10">
        <v>49500.6</v>
      </c>
      <c r="I224" s="9" t="s">
        <v>17</v>
      </c>
      <c r="J224" s="9" t="s">
        <v>28</v>
      </c>
      <c r="K224" s="4">
        <v>0.02</v>
      </c>
      <c r="L224" t="str">
        <f>IF(pg_1[[#This Row],[Salary]]&gt;=90000, "Met minimum", "Not met minimum")</f>
        <v>Not met minimum</v>
      </c>
    </row>
    <row r="225" spans="1:12" x14ac:dyDescent="0.25">
      <c r="A225" s="8">
        <v>224</v>
      </c>
      <c r="B225" s="9" t="s">
        <v>273</v>
      </c>
      <c r="C225" s="9" t="s">
        <v>7</v>
      </c>
      <c r="D225" s="9" t="s">
        <v>50</v>
      </c>
      <c r="E225" t="s">
        <v>988</v>
      </c>
      <c r="F225" s="11">
        <v>105470</v>
      </c>
      <c r="G225" s="10">
        <v>3480.51</v>
      </c>
      <c r="H225" s="10">
        <v>108950.51</v>
      </c>
      <c r="I225" s="9" t="s">
        <v>17</v>
      </c>
      <c r="J225" s="9" t="s">
        <v>28</v>
      </c>
      <c r="K225" s="4">
        <v>3.3000000000000002E-2</v>
      </c>
      <c r="L225" t="str">
        <f>IF(pg_1[[#This Row],[Salary]]&gt;=90000, "Met minimum", "Not met minimum")</f>
        <v>Met minimum</v>
      </c>
    </row>
    <row r="226" spans="1:12" x14ac:dyDescent="0.25">
      <c r="A226" s="8">
        <v>225</v>
      </c>
      <c r="B226" s="9" t="s">
        <v>274</v>
      </c>
      <c r="C226" s="9" t="s">
        <v>12</v>
      </c>
      <c r="D226" s="9" t="s">
        <v>42</v>
      </c>
      <c r="E226" t="s">
        <v>994</v>
      </c>
      <c r="F226" s="11">
        <v>98200</v>
      </c>
      <c r="G226" s="10">
        <v>1865.8</v>
      </c>
      <c r="H226" s="10">
        <v>100065.8</v>
      </c>
      <c r="I226" s="9" t="s">
        <v>17</v>
      </c>
      <c r="J226" s="9" t="s">
        <v>24</v>
      </c>
      <c r="K226" s="4">
        <v>1.9E-2</v>
      </c>
      <c r="L226" t="str">
        <f>IF(pg_1[[#This Row],[Salary]]&gt;=90000, "Met minimum", "Not met minimum")</f>
        <v>Met minimum</v>
      </c>
    </row>
    <row r="227" spans="1:12" x14ac:dyDescent="0.25">
      <c r="A227" s="8">
        <v>226</v>
      </c>
      <c r="B227" s="9" t="s">
        <v>275</v>
      </c>
      <c r="C227" s="9" t="s">
        <v>7</v>
      </c>
      <c r="D227" s="9" t="s">
        <v>27</v>
      </c>
      <c r="E227" t="s">
        <v>988</v>
      </c>
      <c r="F227" s="11">
        <v>106190</v>
      </c>
      <c r="G227" s="10">
        <v>8070.44</v>
      </c>
      <c r="H227" s="10">
        <v>114260.44</v>
      </c>
      <c r="I227" s="9" t="s">
        <v>17</v>
      </c>
      <c r="J227" s="9" t="s">
        <v>10</v>
      </c>
      <c r="K227" s="4">
        <v>7.5999999999999998E-2</v>
      </c>
      <c r="L227" t="str">
        <f>IF(pg_1[[#This Row],[Salary]]&gt;=90000, "Met minimum", "Not met minimum")</f>
        <v>Met minimum</v>
      </c>
    </row>
    <row r="228" spans="1:12" x14ac:dyDescent="0.25">
      <c r="A228" s="8">
        <v>227</v>
      </c>
      <c r="B228" s="9" t="s">
        <v>276</v>
      </c>
      <c r="C228" s="9" t="s">
        <v>7</v>
      </c>
      <c r="D228" s="9" t="s">
        <v>8</v>
      </c>
      <c r="E228" t="s">
        <v>987</v>
      </c>
      <c r="F228" s="11">
        <v>52610</v>
      </c>
      <c r="G228" s="10">
        <v>631.32000000000005</v>
      </c>
      <c r="H228" s="10">
        <v>53241.32</v>
      </c>
      <c r="I228" s="9" t="s">
        <v>9</v>
      </c>
      <c r="J228" s="9" t="s">
        <v>24</v>
      </c>
      <c r="K228" s="4">
        <v>1.2E-2</v>
      </c>
      <c r="L228" t="str">
        <f>IF(pg_1[[#This Row],[Salary]]&gt;=90000, "Met minimum", "Not met minimum")</f>
        <v>Not met minimum</v>
      </c>
    </row>
    <row r="229" spans="1:12" x14ac:dyDescent="0.25">
      <c r="A229" s="8">
        <v>228</v>
      </c>
      <c r="B229" s="9" t="s">
        <v>277</v>
      </c>
      <c r="C229" s="9" t="s">
        <v>970</v>
      </c>
      <c r="D229" s="9" t="s">
        <v>20</v>
      </c>
      <c r="E229" t="s">
        <v>986</v>
      </c>
      <c r="F229" s="11">
        <v>63450</v>
      </c>
      <c r="G229" s="10">
        <v>3426.3</v>
      </c>
      <c r="H229" s="10">
        <v>66876.3</v>
      </c>
      <c r="I229" s="9" t="s">
        <v>17</v>
      </c>
      <c r="J229" s="9" t="s">
        <v>14</v>
      </c>
      <c r="K229" s="4">
        <v>5.3999999999999999E-2</v>
      </c>
      <c r="L229" t="str">
        <f>IF(pg_1[[#This Row],[Salary]]&gt;=90000, "Met minimum", "Not met minimum")</f>
        <v>Not met minimum</v>
      </c>
    </row>
    <row r="230" spans="1:12" x14ac:dyDescent="0.25">
      <c r="A230" s="8">
        <v>229</v>
      </c>
      <c r="B230" s="9" t="s">
        <v>278</v>
      </c>
      <c r="C230" s="9" t="s">
        <v>7</v>
      </c>
      <c r="D230" s="9" t="s">
        <v>53</v>
      </c>
      <c r="E230" t="s">
        <v>992</v>
      </c>
      <c r="F230" s="11">
        <v>74710</v>
      </c>
      <c r="G230" s="10">
        <v>4333.18</v>
      </c>
      <c r="H230" s="10">
        <v>79043.179999999993</v>
      </c>
      <c r="I230" s="9" t="s">
        <v>17</v>
      </c>
      <c r="J230" s="9" t="s">
        <v>14</v>
      </c>
      <c r="K230" s="4">
        <v>5.8000000000000003E-2</v>
      </c>
      <c r="L230" t="str">
        <f>IF(pg_1[[#This Row],[Salary]]&gt;=90000, "Met minimum", "Not met minimum")</f>
        <v>Not met minimum</v>
      </c>
    </row>
    <row r="231" spans="1:12" x14ac:dyDescent="0.25">
      <c r="A231" s="8">
        <v>230</v>
      </c>
      <c r="B231" s="9" t="s">
        <v>279</v>
      </c>
      <c r="C231" s="9" t="s">
        <v>12</v>
      </c>
      <c r="D231" s="9" t="s">
        <v>8</v>
      </c>
      <c r="E231" t="s">
        <v>986</v>
      </c>
      <c r="F231" s="11">
        <v>60330</v>
      </c>
      <c r="G231" s="10">
        <v>1266.93</v>
      </c>
      <c r="H231" s="10">
        <v>61596.93</v>
      </c>
      <c r="I231" s="9" t="s">
        <v>9</v>
      </c>
      <c r="J231" s="9" t="s">
        <v>28</v>
      </c>
      <c r="K231" s="4">
        <v>2.1000000000000001E-2</v>
      </c>
      <c r="L231" t="str">
        <f>IF(pg_1[[#This Row],[Salary]]&gt;=90000, "Met minimum", "Not met minimum")</f>
        <v>Not met minimum</v>
      </c>
    </row>
    <row r="232" spans="1:12" x14ac:dyDescent="0.25">
      <c r="A232" s="8">
        <v>231</v>
      </c>
      <c r="B232" s="9" t="s">
        <v>280</v>
      </c>
      <c r="C232" s="9" t="s">
        <v>7</v>
      </c>
      <c r="D232" s="9" t="s">
        <v>8</v>
      </c>
      <c r="E232" t="s">
        <v>986</v>
      </c>
      <c r="F232" s="11">
        <v>61010</v>
      </c>
      <c r="G232" s="10">
        <v>1281.21</v>
      </c>
      <c r="H232" s="10">
        <v>62291.21</v>
      </c>
      <c r="I232" s="9" t="s">
        <v>21</v>
      </c>
      <c r="J232" s="9" t="s">
        <v>28</v>
      </c>
      <c r="K232" s="4">
        <v>2.1000000000000001E-2</v>
      </c>
      <c r="L232" t="str">
        <f>IF(pg_1[[#This Row],[Salary]]&gt;=90000, "Met minimum", "Not met minimum")</f>
        <v>Not met minimum</v>
      </c>
    </row>
    <row r="233" spans="1:12" x14ac:dyDescent="0.25">
      <c r="A233" s="8">
        <v>232</v>
      </c>
      <c r="B233" s="9" t="s">
        <v>281</v>
      </c>
      <c r="C233" s="9" t="s">
        <v>12</v>
      </c>
      <c r="D233" s="9" t="s">
        <v>53</v>
      </c>
      <c r="E233" t="s">
        <v>992</v>
      </c>
      <c r="F233" s="11">
        <v>76300</v>
      </c>
      <c r="G233" s="10">
        <v>0</v>
      </c>
      <c r="H233" s="10">
        <v>76300</v>
      </c>
      <c r="I233" s="9" t="s">
        <v>21</v>
      </c>
      <c r="J233" s="9" t="s">
        <v>18</v>
      </c>
      <c r="K233" s="4">
        <v>0</v>
      </c>
      <c r="L233" t="str">
        <f>IF(pg_1[[#This Row],[Salary]]&gt;=90000, "Met minimum", "Not met minimum")</f>
        <v>Not met minimum</v>
      </c>
    </row>
    <row r="234" spans="1:12" x14ac:dyDescent="0.25">
      <c r="A234" s="8">
        <v>233</v>
      </c>
      <c r="B234" s="9" t="s">
        <v>282</v>
      </c>
      <c r="C234" s="9" t="s">
        <v>7</v>
      </c>
      <c r="D234" s="9" t="s">
        <v>67</v>
      </c>
      <c r="E234" t="s">
        <v>991</v>
      </c>
      <c r="F234" s="11">
        <v>117020</v>
      </c>
      <c r="G234" s="10">
        <v>4095.7000000000003</v>
      </c>
      <c r="H234" s="10">
        <v>121115.7</v>
      </c>
      <c r="I234" s="9" t="s">
        <v>21</v>
      </c>
      <c r="J234" s="9" t="s">
        <v>28</v>
      </c>
      <c r="K234" s="4">
        <v>3.5000000000000003E-2</v>
      </c>
      <c r="L234" t="str">
        <f>IF(pg_1[[#This Row],[Salary]]&gt;=90000, "Met minimum", "Not met minimum")</f>
        <v>Met minimum</v>
      </c>
    </row>
    <row r="235" spans="1:12" x14ac:dyDescent="0.25">
      <c r="A235" s="8">
        <v>234</v>
      </c>
      <c r="B235" s="9" t="s">
        <v>283</v>
      </c>
      <c r="C235" s="9" t="s">
        <v>7</v>
      </c>
      <c r="D235" s="9" t="s">
        <v>67</v>
      </c>
      <c r="E235" t="s">
        <v>992</v>
      </c>
      <c r="F235" s="11">
        <v>77130</v>
      </c>
      <c r="G235" s="10">
        <v>385.65000000000003</v>
      </c>
      <c r="H235" s="10">
        <v>77515.649999999994</v>
      </c>
      <c r="I235" s="9" t="s">
        <v>9</v>
      </c>
      <c r="J235" s="9" t="s">
        <v>51</v>
      </c>
      <c r="K235" s="4">
        <v>5.0000000000000001E-3</v>
      </c>
      <c r="L235" t="str">
        <f>IF(pg_1[[#This Row],[Salary]]&gt;=90000, "Met minimum", "Not met minimum")</f>
        <v>Not met minimum</v>
      </c>
    </row>
    <row r="236" spans="1:12" x14ac:dyDescent="0.25">
      <c r="A236" s="8">
        <v>235</v>
      </c>
      <c r="B236" s="9" t="s">
        <v>284</v>
      </c>
      <c r="C236" s="9" t="s">
        <v>12</v>
      </c>
      <c r="D236" s="9" t="s">
        <v>27</v>
      </c>
      <c r="E236" t="s">
        <v>988</v>
      </c>
      <c r="F236" s="11">
        <v>106930</v>
      </c>
      <c r="G236" s="10">
        <v>2887.11</v>
      </c>
      <c r="H236" s="10">
        <v>109817.11</v>
      </c>
      <c r="I236" s="9" t="s">
        <v>9</v>
      </c>
      <c r="J236" s="9" t="s">
        <v>28</v>
      </c>
      <c r="K236" s="4">
        <v>2.7E-2</v>
      </c>
      <c r="L236" t="str">
        <f>IF(pg_1[[#This Row],[Salary]]&gt;=90000, "Met minimum", "Not met minimum")</f>
        <v>Met minimum</v>
      </c>
    </row>
    <row r="237" spans="1:12" x14ac:dyDescent="0.25">
      <c r="A237" s="8">
        <v>236</v>
      </c>
      <c r="B237" s="9" t="s">
        <v>285</v>
      </c>
      <c r="C237" s="9" t="s">
        <v>7</v>
      </c>
      <c r="D237" s="9" t="s">
        <v>13</v>
      </c>
      <c r="E237" t="s">
        <v>986</v>
      </c>
      <c r="F237" s="11">
        <v>62090</v>
      </c>
      <c r="G237" s="10">
        <v>3787.49</v>
      </c>
      <c r="H237" s="10">
        <v>65877.490000000005</v>
      </c>
      <c r="I237" s="9" t="s">
        <v>17</v>
      </c>
      <c r="J237" s="9" t="s">
        <v>10</v>
      </c>
      <c r="K237" s="4">
        <v>6.0999999999999999E-2</v>
      </c>
      <c r="L237" t="str">
        <f>IF(pg_1[[#This Row],[Salary]]&gt;=90000, "Met minimum", "Not met minimum")</f>
        <v>Not met minimum</v>
      </c>
    </row>
    <row r="238" spans="1:12" x14ac:dyDescent="0.25">
      <c r="A238" s="8">
        <v>237</v>
      </c>
      <c r="B238" s="9" t="s">
        <v>286</v>
      </c>
      <c r="C238" s="9" t="s">
        <v>12</v>
      </c>
      <c r="D238" s="9" t="s">
        <v>67</v>
      </c>
      <c r="E238" t="s">
        <v>986</v>
      </c>
      <c r="F238" s="11">
        <v>61330</v>
      </c>
      <c r="G238" s="10">
        <v>2146.5500000000002</v>
      </c>
      <c r="H238" s="10">
        <v>63476.55</v>
      </c>
      <c r="I238" s="9" t="s">
        <v>9</v>
      </c>
      <c r="J238" s="9" t="s">
        <v>28</v>
      </c>
      <c r="K238" s="4">
        <v>3.5000000000000003E-2</v>
      </c>
      <c r="L238" t="str">
        <f>IF(pg_1[[#This Row],[Salary]]&gt;=90000, "Met minimum", "Not met minimum")</f>
        <v>Not met minimum</v>
      </c>
    </row>
    <row r="239" spans="1:12" x14ac:dyDescent="0.25">
      <c r="A239" s="8">
        <v>238</v>
      </c>
      <c r="B239" s="9" t="s">
        <v>287</v>
      </c>
      <c r="C239" s="9" t="s">
        <v>12</v>
      </c>
      <c r="D239" s="9" t="s">
        <v>42</v>
      </c>
      <c r="E239" t="s">
        <v>989</v>
      </c>
      <c r="F239" s="11">
        <v>41600</v>
      </c>
      <c r="G239" s="10">
        <v>0</v>
      </c>
      <c r="H239" s="10">
        <v>41600</v>
      </c>
      <c r="I239" s="9" t="s">
        <v>17</v>
      </c>
      <c r="J239" s="9" t="s">
        <v>18</v>
      </c>
      <c r="K239" s="4">
        <v>0</v>
      </c>
      <c r="L239" t="str">
        <f>IF(pg_1[[#This Row],[Salary]]&gt;=90000, "Met minimum", "Not met minimum")</f>
        <v>Not met minimum</v>
      </c>
    </row>
    <row r="240" spans="1:12" x14ac:dyDescent="0.25">
      <c r="A240" s="8">
        <v>239</v>
      </c>
      <c r="B240" s="9" t="s">
        <v>288</v>
      </c>
      <c r="C240" s="9" t="s">
        <v>970</v>
      </c>
      <c r="D240" s="9" t="s">
        <v>67</v>
      </c>
      <c r="E240" t="s">
        <v>988</v>
      </c>
      <c r="F240" s="11">
        <v>105870</v>
      </c>
      <c r="G240" s="10">
        <v>529.35</v>
      </c>
      <c r="H240" s="10">
        <v>106399.35</v>
      </c>
      <c r="I240" s="9" t="s">
        <v>17</v>
      </c>
      <c r="J240" s="9" t="s">
        <v>51</v>
      </c>
      <c r="K240" s="4">
        <v>5.0000000000000001E-3</v>
      </c>
      <c r="L240" t="str">
        <f>IF(pg_1[[#This Row],[Salary]]&gt;=90000, "Met minimum", "Not met minimum")</f>
        <v>Met minimum</v>
      </c>
    </row>
    <row r="241" spans="1:12" x14ac:dyDescent="0.25">
      <c r="A241" s="8">
        <v>240</v>
      </c>
      <c r="B241" s="9" t="s">
        <v>289</v>
      </c>
      <c r="C241" s="9" t="s">
        <v>12</v>
      </c>
      <c r="D241" s="9" t="s">
        <v>27</v>
      </c>
      <c r="E241" t="s">
        <v>991</v>
      </c>
      <c r="F241" s="11">
        <v>118300</v>
      </c>
      <c r="G241" s="10">
        <v>3194.1</v>
      </c>
      <c r="H241" s="10">
        <v>121494.1</v>
      </c>
      <c r="I241" s="9" t="s">
        <v>21</v>
      </c>
      <c r="J241" s="9" t="s">
        <v>28</v>
      </c>
      <c r="K241" s="4">
        <v>2.7E-2</v>
      </c>
      <c r="L241" t="str">
        <f>IF(pg_1[[#This Row],[Salary]]&gt;=90000, "Met minimum", "Not met minimum")</f>
        <v>Met minimum</v>
      </c>
    </row>
    <row r="242" spans="1:12" x14ac:dyDescent="0.25">
      <c r="A242" s="8">
        <v>241</v>
      </c>
      <c r="B242" s="9" t="s">
        <v>290</v>
      </c>
      <c r="C242" s="9" t="s">
        <v>12</v>
      </c>
      <c r="D242" s="9" t="s">
        <v>50</v>
      </c>
      <c r="E242" t="s">
        <v>994</v>
      </c>
      <c r="F242" s="11">
        <v>99680</v>
      </c>
      <c r="G242" s="10">
        <v>5382.72</v>
      </c>
      <c r="H242" s="10">
        <v>105062.72</v>
      </c>
      <c r="I242" s="9" t="s">
        <v>21</v>
      </c>
      <c r="J242" s="9" t="s">
        <v>14</v>
      </c>
      <c r="K242" s="4">
        <v>5.3999999999999999E-2</v>
      </c>
      <c r="L242" t="str">
        <f>IF(pg_1[[#This Row],[Salary]]&gt;=90000, "Met minimum", "Not met minimum")</f>
        <v>Met minimum</v>
      </c>
    </row>
    <row r="243" spans="1:12" x14ac:dyDescent="0.25">
      <c r="A243" s="8">
        <v>242</v>
      </c>
      <c r="B243" s="9" t="s">
        <v>291</v>
      </c>
      <c r="C243" s="9" t="s">
        <v>12</v>
      </c>
      <c r="D243" s="9" t="s">
        <v>8</v>
      </c>
      <c r="E243" t="s">
        <v>988</v>
      </c>
      <c r="F243" s="11">
        <v>101500</v>
      </c>
      <c r="G243" s="10">
        <v>5176.5</v>
      </c>
      <c r="H243" s="10">
        <v>106676.5</v>
      </c>
      <c r="I243" s="9" t="s">
        <v>17</v>
      </c>
      <c r="J243" s="9" t="s">
        <v>14</v>
      </c>
      <c r="K243" s="4">
        <v>5.0999999999999997E-2</v>
      </c>
      <c r="L243" t="str">
        <f>IF(pg_1[[#This Row],[Salary]]&gt;=90000, "Met minimum", "Not met minimum")</f>
        <v>Met minimum</v>
      </c>
    </row>
    <row r="244" spans="1:12" x14ac:dyDescent="0.25">
      <c r="A244" s="8">
        <v>243</v>
      </c>
      <c r="B244" s="9" t="s">
        <v>292</v>
      </c>
      <c r="C244" s="9" t="s">
        <v>12</v>
      </c>
      <c r="D244" s="9" t="s">
        <v>27</v>
      </c>
      <c r="E244" t="s">
        <v>989</v>
      </c>
      <c r="F244" s="11">
        <v>46160</v>
      </c>
      <c r="G244" s="10">
        <v>1246.32</v>
      </c>
      <c r="H244" s="10">
        <v>47406.32</v>
      </c>
      <c r="I244" s="9" t="s">
        <v>21</v>
      </c>
      <c r="J244" s="9" t="s">
        <v>28</v>
      </c>
      <c r="K244" s="4">
        <v>2.7E-2</v>
      </c>
      <c r="L244" t="str">
        <f>IF(pg_1[[#This Row],[Salary]]&gt;=90000, "Met minimum", "Not met minimum")</f>
        <v>Not met minimum</v>
      </c>
    </row>
    <row r="245" spans="1:12" x14ac:dyDescent="0.25">
      <c r="A245" s="8">
        <v>244</v>
      </c>
      <c r="B245" s="9" t="s">
        <v>293</v>
      </c>
      <c r="C245" s="9" t="s">
        <v>12</v>
      </c>
      <c r="D245" s="9" t="s">
        <v>8</v>
      </c>
      <c r="E245" t="s">
        <v>989</v>
      </c>
      <c r="F245" s="11">
        <v>41930</v>
      </c>
      <c r="G245" s="10">
        <v>880.53000000000009</v>
      </c>
      <c r="H245" s="10">
        <v>42810.53</v>
      </c>
      <c r="I245" s="9" t="s">
        <v>9</v>
      </c>
      <c r="J245" s="9" t="s">
        <v>28</v>
      </c>
      <c r="K245" s="4">
        <v>2.1000000000000001E-2</v>
      </c>
      <c r="L245" t="str">
        <f>IF(pg_1[[#This Row],[Salary]]&gt;=90000, "Met minimum", "Not met minimum")</f>
        <v>Not met minimum</v>
      </c>
    </row>
    <row r="246" spans="1:12" x14ac:dyDescent="0.25">
      <c r="A246" s="8">
        <v>245</v>
      </c>
      <c r="B246" s="9" t="s">
        <v>294</v>
      </c>
      <c r="C246" s="9" t="s">
        <v>7</v>
      </c>
      <c r="D246" s="9" t="s">
        <v>34</v>
      </c>
      <c r="E246" t="s">
        <v>992</v>
      </c>
      <c r="F246" s="11">
        <v>73360</v>
      </c>
      <c r="G246" s="10">
        <v>1760.64</v>
      </c>
      <c r="H246" s="10">
        <v>75120.639999999999</v>
      </c>
      <c r="I246" s="9" t="s">
        <v>21</v>
      </c>
      <c r="J246" s="9" t="s">
        <v>28</v>
      </c>
      <c r="K246" s="4">
        <v>2.4E-2</v>
      </c>
      <c r="L246" t="str">
        <f>IF(pg_1[[#This Row],[Salary]]&gt;=90000, "Met minimum", "Not met minimum")</f>
        <v>Not met minimum</v>
      </c>
    </row>
    <row r="247" spans="1:12" x14ac:dyDescent="0.25">
      <c r="A247" s="8">
        <v>246</v>
      </c>
      <c r="B247" s="9" t="s">
        <v>295</v>
      </c>
      <c r="C247" s="9" t="s">
        <v>12</v>
      </c>
      <c r="D247" s="9" t="s">
        <v>31</v>
      </c>
      <c r="E247" t="s">
        <v>991</v>
      </c>
      <c r="F247" s="11">
        <v>119550</v>
      </c>
      <c r="G247" s="10">
        <v>6336.15</v>
      </c>
      <c r="H247" s="10">
        <v>125886.15</v>
      </c>
      <c r="I247" s="9" t="s">
        <v>17</v>
      </c>
      <c r="J247" s="9" t="s">
        <v>14</v>
      </c>
      <c r="K247" s="4">
        <v>5.2999999999999999E-2</v>
      </c>
      <c r="L247" t="str">
        <f>IF(pg_1[[#This Row],[Salary]]&gt;=90000, "Met minimum", "Not met minimum")</f>
        <v>Met minimum</v>
      </c>
    </row>
    <row r="248" spans="1:12" x14ac:dyDescent="0.25">
      <c r="A248" s="8">
        <v>247</v>
      </c>
      <c r="B248" s="9" t="s">
        <v>296</v>
      </c>
      <c r="C248" s="9" t="s">
        <v>12</v>
      </c>
      <c r="D248" s="9" t="s">
        <v>27</v>
      </c>
      <c r="E248" t="s">
        <v>987</v>
      </c>
      <c r="F248" s="11">
        <v>53240</v>
      </c>
      <c r="G248" s="10">
        <v>2874.96</v>
      </c>
      <c r="H248" s="10">
        <v>56114.96</v>
      </c>
      <c r="I248" s="9" t="s">
        <v>17</v>
      </c>
      <c r="J248" s="9" t="s">
        <v>14</v>
      </c>
      <c r="K248" s="4">
        <v>5.3999999999999999E-2</v>
      </c>
      <c r="L248" t="str">
        <f>IF(pg_1[[#This Row],[Salary]]&gt;=90000, "Met minimum", "Not met minimum")</f>
        <v>Not met minimum</v>
      </c>
    </row>
    <row r="249" spans="1:12" x14ac:dyDescent="0.25">
      <c r="A249" s="8">
        <v>248</v>
      </c>
      <c r="B249" s="9" t="s">
        <v>297</v>
      </c>
      <c r="C249" s="9" t="s">
        <v>7</v>
      </c>
      <c r="D249" s="9" t="s">
        <v>34</v>
      </c>
      <c r="E249" t="s">
        <v>994</v>
      </c>
      <c r="F249" s="11">
        <v>90880</v>
      </c>
      <c r="G249" s="10">
        <v>2181.12</v>
      </c>
      <c r="H249" s="10">
        <v>93061.119999999995</v>
      </c>
      <c r="I249" s="9" t="s">
        <v>21</v>
      </c>
      <c r="J249" s="9" t="s">
        <v>28</v>
      </c>
      <c r="K249" s="4">
        <v>2.4E-2</v>
      </c>
      <c r="L249" t="str">
        <f>IF(pg_1[[#This Row],[Salary]]&gt;=90000, "Met minimum", "Not met minimum")</f>
        <v>Met minimum</v>
      </c>
    </row>
    <row r="250" spans="1:12" x14ac:dyDescent="0.25">
      <c r="A250" s="8">
        <v>249</v>
      </c>
      <c r="B250" s="9" t="s">
        <v>298</v>
      </c>
      <c r="C250" s="9" t="s">
        <v>7</v>
      </c>
      <c r="D250" s="9" t="s">
        <v>23</v>
      </c>
      <c r="E250" t="s">
        <v>989</v>
      </c>
      <c r="F250" s="11">
        <v>47670</v>
      </c>
      <c r="G250" s="10">
        <v>1334.76</v>
      </c>
      <c r="H250" s="10">
        <v>49004.76</v>
      </c>
      <c r="I250" s="9" t="s">
        <v>17</v>
      </c>
      <c r="J250" s="9" t="s">
        <v>28</v>
      </c>
      <c r="K250" s="4">
        <v>2.8000000000000001E-2</v>
      </c>
      <c r="L250" t="str">
        <f>IF(pg_1[[#This Row],[Salary]]&gt;=90000, "Met minimum", "Not met minimum")</f>
        <v>Not met minimum</v>
      </c>
    </row>
    <row r="251" spans="1:12" x14ac:dyDescent="0.25">
      <c r="A251" s="8">
        <v>250</v>
      </c>
      <c r="B251" s="9" t="s">
        <v>300</v>
      </c>
      <c r="C251" s="9" t="s">
        <v>7</v>
      </c>
      <c r="D251" s="9" t="s">
        <v>42</v>
      </c>
      <c r="E251" t="s">
        <v>989</v>
      </c>
      <c r="F251" s="11">
        <v>47760</v>
      </c>
      <c r="G251" s="10">
        <v>1910.4</v>
      </c>
      <c r="H251" s="10">
        <v>49670.400000000001</v>
      </c>
      <c r="I251" s="9" t="s">
        <v>21</v>
      </c>
      <c r="J251" s="9" t="s">
        <v>28</v>
      </c>
      <c r="K251" s="4">
        <v>0.04</v>
      </c>
      <c r="L251" t="str">
        <f>IF(pg_1[[#This Row],[Salary]]&gt;=90000, "Met minimum", "Not met minimum")</f>
        <v>Not met minimum</v>
      </c>
    </row>
    <row r="252" spans="1:12" x14ac:dyDescent="0.25">
      <c r="A252" s="8">
        <v>251</v>
      </c>
      <c r="B252" s="9" t="s">
        <v>301</v>
      </c>
      <c r="C252" s="9" t="s">
        <v>7</v>
      </c>
      <c r="D252" s="9" t="s">
        <v>37</v>
      </c>
      <c r="E252" t="s">
        <v>989</v>
      </c>
      <c r="F252" s="11">
        <v>47650</v>
      </c>
      <c r="G252" s="10">
        <v>1953.65</v>
      </c>
      <c r="H252" s="10">
        <v>49603.65</v>
      </c>
      <c r="I252" s="9" t="s">
        <v>17</v>
      </c>
      <c r="J252" s="9" t="s">
        <v>14</v>
      </c>
      <c r="K252" s="4">
        <v>4.1000000000000002E-2</v>
      </c>
      <c r="L252" t="str">
        <f>IF(pg_1[[#This Row],[Salary]]&gt;=90000, "Met minimum", "Not met minimum")</f>
        <v>Not met minimum</v>
      </c>
    </row>
    <row r="253" spans="1:12" x14ac:dyDescent="0.25">
      <c r="A253" s="8">
        <v>252</v>
      </c>
      <c r="B253" s="9" t="s">
        <v>302</v>
      </c>
      <c r="C253" s="9" t="s">
        <v>12</v>
      </c>
      <c r="D253" s="9" t="s">
        <v>31</v>
      </c>
      <c r="E253" t="s">
        <v>988</v>
      </c>
      <c r="F253" s="11">
        <v>103360</v>
      </c>
      <c r="G253" s="10">
        <v>7441.9199999999992</v>
      </c>
      <c r="H253" s="10">
        <v>110801.92</v>
      </c>
      <c r="I253" s="9" t="s">
        <v>17</v>
      </c>
      <c r="J253" s="9" t="s">
        <v>10</v>
      </c>
      <c r="K253" s="4">
        <v>7.1999999999999995E-2</v>
      </c>
      <c r="L253" t="str">
        <f>IF(pg_1[[#This Row],[Salary]]&gt;=90000, "Met minimum", "Not met minimum")</f>
        <v>Met minimum</v>
      </c>
    </row>
    <row r="254" spans="1:12" x14ac:dyDescent="0.25">
      <c r="A254" s="8">
        <v>253</v>
      </c>
      <c r="B254" s="9" t="s">
        <v>303</v>
      </c>
      <c r="C254" s="9" t="s">
        <v>7</v>
      </c>
      <c r="D254" s="9" t="s">
        <v>27</v>
      </c>
      <c r="E254" t="s">
        <v>989</v>
      </c>
      <c r="F254" s="11">
        <v>48530</v>
      </c>
      <c r="G254" s="10">
        <v>630.89</v>
      </c>
      <c r="H254" s="10">
        <v>49160.89</v>
      </c>
      <c r="I254" s="9" t="s">
        <v>21</v>
      </c>
      <c r="J254" s="9" t="s">
        <v>24</v>
      </c>
      <c r="K254" s="4">
        <v>1.2999999999999999E-2</v>
      </c>
      <c r="L254" t="str">
        <f>IF(pg_1[[#This Row],[Salary]]&gt;=90000, "Met minimum", "Not met minimum")</f>
        <v>Not met minimum</v>
      </c>
    </row>
    <row r="255" spans="1:12" x14ac:dyDescent="0.25">
      <c r="A255" s="8">
        <v>254</v>
      </c>
      <c r="B255" s="9" t="s">
        <v>304</v>
      </c>
      <c r="C255" s="9" t="s">
        <v>7</v>
      </c>
      <c r="D255" s="9" t="s">
        <v>67</v>
      </c>
      <c r="E255" t="s">
        <v>992</v>
      </c>
      <c r="F255" s="11">
        <v>72160</v>
      </c>
      <c r="G255" s="10">
        <v>2525.6000000000004</v>
      </c>
      <c r="H255" s="10">
        <v>74685.600000000006</v>
      </c>
      <c r="I255" s="9" t="s">
        <v>21</v>
      </c>
      <c r="J255" s="9" t="s">
        <v>28</v>
      </c>
      <c r="K255" s="4">
        <v>3.5000000000000003E-2</v>
      </c>
      <c r="L255" t="str">
        <f>IF(pg_1[[#This Row],[Salary]]&gt;=90000, "Met minimum", "Not met minimum")</f>
        <v>Not met minimum</v>
      </c>
    </row>
    <row r="256" spans="1:12" x14ac:dyDescent="0.25">
      <c r="A256" s="8">
        <v>255</v>
      </c>
      <c r="B256" s="9" t="s">
        <v>305</v>
      </c>
      <c r="C256" s="9" t="s">
        <v>7</v>
      </c>
      <c r="D256" s="9" t="s">
        <v>34</v>
      </c>
      <c r="E256" t="s">
        <v>986</v>
      </c>
      <c r="F256" s="11">
        <v>60800</v>
      </c>
      <c r="G256" s="10">
        <v>1459.2</v>
      </c>
      <c r="H256" s="10">
        <v>62259.199999999997</v>
      </c>
      <c r="I256" s="9" t="s">
        <v>17</v>
      </c>
      <c r="J256" s="9" t="s">
        <v>28</v>
      </c>
      <c r="K256" s="4">
        <v>2.4E-2</v>
      </c>
      <c r="L256" t="str">
        <f>IF(pg_1[[#This Row],[Salary]]&gt;=90000, "Met minimum", "Not met minimum")</f>
        <v>Not met minimum</v>
      </c>
    </row>
    <row r="257" spans="1:12" x14ac:dyDescent="0.25">
      <c r="A257" s="8">
        <v>256</v>
      </c>
      <c r="B257" s="9" t="s">
        <v>306</v>
      </c>
      <c r="C257" s="9" t="s">
        <v>12</v>
      </c>
      <c r="D257" s="9" t="s">
        <v>31</v>
      </c>
      <c r="E257" t="s">
        <v>992</v>
      </c>
      <c r="F257" s="11">
        <v>74010</v>
      </c>
      <c r="G257" s="10">
        <v>1702.23</v>
      </c>
      <c r="H257" s="10">
        <v>75712.23</v>
      </c>
      <c r="I257" s="9" t="s">
        <v>21</v>
      </c>
      <c r="J257" s="9" t="s">
        <v>28</v>
      </c>
      <c r="K257" s="4">
        <v>2.3E-2</v>
      </c>
      <c r="L257" t="str">
        <f>IF(pg_1[[#This Row],[Salary]]&gt;=90000, "Met minimum", "Not met minimum")</f>
        <v>Not met minimum</v>
      </c>
    </row>
    <row r="258" spans="1:12" x14ac:dyDescent="0.25">
      <c r="A258" s="8">
        <v>257</v>
      </c>
      <c r="B258" s="9" t="s">
        <v>307</v>
      </c>
      <c r="C258" s="9" t="s">
        <v>12</v>
      </c>
      <c r="D258" s="9" t="s">
        <v>31</v>
      </c>
      <c r="E258" t="s">
        <v>986</v>
      </c>
      <c r="F258" s="11">
        <v>60760</v>
      </c>
      <c r="G258" s="10">
        <v>4374.7199999999993</v>
      </c>
      <c r="H258" s="10">
        <v>65134.720000000001</v>
      </c>
      <c r="I258" s="9" t="s">
        <v>9</v>
      </c>
      <c r="J258" s="9" t="s">
        <v>10</v>
      </c>
      <c r="K258" s="4">
        <v>7.1999999999999995E-2</v>
      </c>
      <c r="L258" t="str">
        <f>IF(pg_1[[#This Row],[Salary]]&gt;=90000, "Met minimum", "Not met minimum")</f>
        <v>Not met minimum</v>
      </c>
    </row>
    <row r="259" spans="1:12" x14ac:dyDescent="0.25">
      <c r="A259" s="8">
        <v>258</v>
      </c>
      <c r="B259" s="9" t="s">
        <v>308</v>
      </c>
      <c r="C259" s="9" t="s">
        <v>7</v>
      </c>
      <c r="D259" s="9" t="s">
        <v>13</v>
      </c>
      <c r="E259" t="s">
        <v>992</v>
      </c>
      <c r="F259" s="11">
        <v>74550</v>
      </c>
      <c r="G259" s="10">
        <v>2609.2500000000005</v>
      </c>
      <c r="H259" s="10">
        <v>77159.25</v>
      </c>
      <c r="I259" s="9" t="s">
        <v>9</v>
      </c>
      <c r="J259" s="9" t="s">
        <v>28</v>
      </c>
      <c r="K259" s="4">
        <v>3.5000000000000003E-2</v>
      </c>
      <c r="L259" t="str">
        <f>IF(pg_1[[#This Row],[Salary]]&gt;=90000, "Met minimum", "Not met minimum")</f>
        <v>Not met minimum</v>
      </c>
    </row>
    <row r="260" spans="1:12" x14ac:dyDescent="0.25">
      <c r="A260" s="8">
        <v>259</v>
      </c>
      <c r="B260" s="9" t="s">
        <v>309</v>
      </c>
      <c r="C260" s="9" t="s">
        <v>7</v>
      </c>
      <c r="D260" s="9" t="s">
        <v>13</v>
      </c>
      <c r="E260" t="s">
        <v>990</v>
      </c>
      <c r="F260" s="11">
        <v>32500</v>
      </c>
      <c r="G260" s="10">
        <v>357.5</v>
      </c>
      <c r="H260" s="10">
        <v>32857.5</v>
      </c>
      <c r="I260" s="9" t="s">
        <v>17</v>
      </c>
      <c r="J260" s="9" t="s">
        <v>24</v>
      </c>
      <c r="K260" s="4">
        <v>1.0999999999999999E-2</v>
      </c>
      <c r="L260" t="str">
        <f>IF(pg_1[[#This Row],[Salary]]&gt;=90000, "Met minimum", "Not met minimum")</f>
        <v>Not met minimum</v>
      </c>
    </row>
    <row r="261" spans="1:12" x14ac:dyDescent="0.25">
      <c r="A261" s="8">
        <v>260</v>
      </c>
      <c r="B261" s="9" t="s">
        <v>310</v>
      </c>
      <c r="C261" s="9" t="s">
        <v>7</v>
      </c>
      <c r="D261" s="9" t="s">
        <v>34</v>
      </c>
      <c r="E261" t="s">
        <v>991</v>
      </c>
      <c r="F261" s="11">
        <v>110040</v>
      </c>
      <c r="G261" s="10">
        <v>5502</v>
      </c>
      <c r="H261" s="10">
        <v>115542</v>
      </c>
      <c r="I261" s="9" t="s">
        <v>9</v>
      </c>
      <c r="J261" s="9" t="s">
        <v>14</v>
      </c>
      <c r="K261" s="4">
        <v>0.05</v>
      </c>
      <c r="L261" t="str">
        <f>IF(pg_1[[#This Row],[Salary]]&gt;=90000, "Met minimum", "Not met minimum")</f>
        <v>Met minimum</v>
      </c>
    </row>
    <row r="262" spans="1:12" x14ac:dyDescent="0.25">
      <c r="A262" s="8">
        <v>261</v>
      </c>
      <c r="B262" s="9" t="s">
        <v>311</v>
      </c>
      <c r="C262" s="9" t="s">
        <v>12</v>
      </c>
      <c r="D262" s="9" t="s">
        <v>20</v>
      </c>
      <c r="E262" t="s">
        <v>994</v>
      </c>
      <c r="F262" s="11">
        <v>99750</v>
      </c>
      <c r="G262" s="10">
        <v>2094.75</v>
      </c>
      <c r="H262" s="10">
        <v>101844.75</v>
      </c>
      <c r="I262" s="9" t="s">
        <v>21</v>
      </c>
      <c r="J262" s="9" t="s">
        <v>28</v>
      </c>
      <c r="K262" s="4">
        <v>2.1000000000000001E-2</v>
      </c>
      <c r="L262" t="str">
        <f>IF(pg_1[[#This Row],[Salary]]&gt;=90000, "Met minimum", "Not met minimum")</f>
        <v>Met minimum</v>
      </c>
    </row>
    <row r="263" spans="1:12" x14ac:dyDescent="0.25">
      <c r="A263" s="8">
        <v>262</v>
      </c>
      <c r="B263" s="9" t="s">
        <v>312</v>
      </c>
      <c r="C263" s="9" t="s">
        <v>12</v>
      </c>
      <c r="D263" s="9" t="s">
        <v>27</v>
      </c>
      <c r="E263" t="s">
        <v>994</v>
      </c>
      <c r="F263" s="11">
        <v>92470</v>
      </c>
      <c r="G263" s="10">
        <v>2496.69</v>
      </c>
      <c r="H263" s="10">
        <v>94966.69</v>
      </c>
      <c r="I263" s="9" t="s">
        <v>21</v>
      </c>
      <c r="J263" s="9" t="s">
        <v>28</v>
      </c>
      <c r="K263" s="4">
        <v>2.7E-2</v>
      </c>
      <c r="L263" t="str">
        <f>IF(pg_1[[#This Row],[Salary]]&gt;=90000, "Met minimum", "Not met minimum")</f>
        <v>Met minimum</v>
      </c>
    </row>
    <row r="264" spans="1:12" x14ac:dyDescent="0.25">
      <c r="A264" s="8">
        <v>263</v>
      </c>
      <c r="B264" s="9" t="s">
        <v>313</v>
      </c>
      <c r="C264" s="9" t="s">
        <v>12</v>
      </c>
      <c r="D264" s="9" t="s">
        <v>13</v>
      </c>
      <c r="E264" t="s">
        <v>988</v>
      </c>
      <c r="F264" s="11">
        <v>109980</v>
      </c>
      <c r="G264" s="10">
        <v>3849.3</v>
      </c>
      <c r="H264" s="10">
        <v>113829.3</v>
      </c>
      <c r="I264" s="9" t="s">
        <v>21</v>
      </c>
      <c r="J264" s="9" t="s">
        <v>28</v>
      </c>
      <c r="K264" s="4">
        <v>3.5000000000000003E-2</v>
      </c>
      <c r="L264" t="str">
        <f>IF(pg_1[[#This Row],[Salary]]&gt;=90000, "Met minimum", "Not met minimum")</f>
        <v>Met minimum</v>
      </c>
    </row>
    <row r="265" spans="1:12" x14ac:dyDescent="0.25">
      <c r="A265" s="8">
        <v>264</v>
      </c>
      <c r="B265" s="9" t="s">
        <v>314</v>
      </c>
      <c r="C265" s="9" t="s">
        <v>7</v>
      </c>
      <c r="D265" s="9" t="s">
        <v>20</v>
      </c>
      <c r="E265" t="s">
        <v>989</v>
      </c>
      <c r="F265" s="11">
        <v>41790</v>
      </c>
      <c r="G265" s="10">
        <v>877.59</v>
      </c>
      <c r="H265" s="10">
        <v>42667.59</v>
      </c>
      <c r="I265" s="9" t="s">
        <v>17</v>
      </c>
      <c r="J265" s="9" t="s">
        <v>28</v>
      </c>
      <c r="K265" s="4">
        <v>2.1000000000000001E-2</v>
      </c>
      <c r="L265" t="str">
        <f>IF(pg_1[[#This Row],[Salary]]&gt;=90000, "Met minimum", "Not met minimum")</f>
        <v>Not met minimum</v>
      </c>
    </row>
    <row r="266" spans="1:12" x14ac:dyDescent="0.25">
      <c r="A266" s="8">
        <v>265</v>
      </c>
      <c r="B266" s="9" t="s">
        <v>315</v>
      </c>
      <c r="C266" s="9" t="s">
        <v>7</v>
      </c>
      <c r="D266" s="9" t="s">
        <v>23</v>
      </c>
      <c r="E266" t="s">
        <v>985</v>
      </c>
      <c r="F266" s="11">
        <v>86360</v>
      </c>
      <c r="G266" s="10">
        <v>431.8</v>
      </c>
      <c r="H266" s="10">
        <v>86791.8</v>
      </c>
      <c r="I266" s="9" t="s">
        <v>21</v>
      </c>
      <c r="J266" s="9" t="s">
        <v>51</v>
      </c>
      <c r="K266" s="4">
        <v>5.0000000000000001E-3</v>
      </c>
      <c r="L266" t="str">
        <f>IF(pg_1[[#This Row],[Salary]]&gt;=90000, "Met minimum", "Not met minimum")</f>
        <v>Not met minimum</v>
      </c>
    </row>
    <row r="267" spans="1:12" x14ac:dyDescent="0.25">
      <c r="A267" s="8">
        <v>266</v>
      </c>
      <c r="B267" s="9" t="s">
        <v>316</v>
      </c>
      <c r="C267" s="9" t="s">
        <v>7</v>
      </c>
      <c r="D267" s="9" t="s">
        <v>27</v>
      </c>
      <c r="E267" t="s">
        <v>986</v>
      </c>
      <c r="F267" s="11">
        <v>65570</v>
      </c>
      <c r="G267" s="10">
        <v>4983.32</v>
      </c>
      <c r="H267" s="10">
        <v>70553.320000000007</v>
      </c>
      <c r="I267" s="9" t="s">
        <v>21</v>
      </c>
      <c r="J267" s="9" t="s">
        <v>10</v>
      </c>
      <c r="K267" s="4">
        <v>7.5999999999999998E-2</v>
      </c>
      <c r="L267" t="str">
        <f>IF(pg_1[[#This Row],[Salary]]&gt;=90000, "Met minimum", "Not met minimum")</f>
        <v>Not met minimum</v>
      </c>
    </row>
    <row r="268" spans="1:12" x14ac:dyDescent="0.25">
      <c r="A268" s="8">
        <v>267</v>
      </c>
      <c r="B268" s="9" t="s">
        <v>317</v>
      </c>
      <c r="C268" s="9" t="s">
        <v>12</v>
      </c>
      <c r="D268" s="9" t="s">
        <v>53</v>
      </c>
      <c r="E268" t="s">
        <v>986</v>
      </c>
      <c r="F268" s="11">
        <v>69160</v>
      </c>
      <c r="G268" s="10">
        <v>4910.3599999999997</v>
      </c>
      <c r="H268" s="10">
        <v>74070.36</v>
      </c>
      <c r="I268" s="9" t="s">
        <v>21</v>
      </c>
      <c r="J268" s="9" t="s">
        <v>10</v>
      </c>
      <c r="K268" s="4">
        <v>7.0999999999999994E-2</v>
      </c>
      <c r="L268" t="str">
        <f>IF(pg_1[[#This Row],[Salary]]&gt;=90000, "Met minimum", "Not met minimum")</f>
        <v>Not met minimum</v>
      </c>
    </row>
    <row r="269" spans="1:12" x14ac:dyDescent="0.25">
      <c r="A269" s="8">
        <v>268</v>
      </c>
      <c r="B269" s="9" t="s">
        <v>318</v>
      </c>
      <c r="C269" s="9" t="s">
        <v>12</v>
      </c>
      <c r="D269" s="9" t="s">
        <v>37</v>
      </c>
      <c r="E269" t="s">
        <v>989</v>
      </c>
      <c r="F269" s="11">
        <v>41570</v>
      </c>
      <c r="G269" s="10">
        <v>1704.3700000000001</v>
      </c>
      <c r="H269" s="10">
        <v>43274.37</v>
      </c>
      <c r="I269" s="9" t="s">
        <v>17</v>
      </c>
      <c r="J269" s="9" t="s">
        <v>14</v>
      </c>
      <c r="K269" s="4">
        <v>4.1000000000000002E-2</v>
      </c>
      <c r="L269" t="str">
        <f>IF(pg_1[[#This Row],[Salary]]&gt;=90000, "Met minimum", "Not met minimum")</f>
        <v>Not met minimum</v>
      </c>
    </row>
    <row r="270" spans="1:12" x14ac:dyDescent="0.25">
      <c r="A270" s="8">
        <v>269</v>
      </c>
      <c r="B270" s="9" t="s">
        <v>319</v>
      </c>
      <c r="C270" s="9" t="s">
        <v>12</v>
      </c>
      <c r="D270" s="9" t="s">
        <v>8</v>
      </c>
      <c r="E270" t="s">
        <v>985</v>
      </c>
      <c r="F270" s="11">
        <v>83400</v>
      </c>
      <c r="G270" s="10">
        <v>1000.8000000000001</v>
      </c>
      <c r="H270" s="10">
        <v>84400.8</v>
      </c>
      <c r="I270" s="9" t="s">
        <v>21</v>
      </c>
      <c r="J270" s="9" t="s">
        <v>24</v>
      </c>
      <c r="K270" s="4">
        <v>1.2E-2</v>
      </c>
      <c r="L270" t="str">
        <f>IF(pg_1[[#This Row],[Salary]]&gt;=90000, "Met minimum", "Not met minimum")</f>
        <v>Not met minimum</v>
      </c>
    </row>
    <row r="271" spans="1:12" x14ac:dyDescent="0.25">
      <c r="A271" s="8">
        <v>270</v>
      </c>
      <c r="B271" s="9" t="s">
        <v>320</v>
      </c>
      <c r="C271" s="9" t="s">
        <v>7</v>
      </c>
      <c r="D271" s="9" t="s">
        <v>34</v>
      </c>
      <c r="E271" t="s">
        <v>986</v>
      </c>
      <c r="F271" s="11">
        <v>67660</v>
      </c>
      <c r="G271" s="10">
        <v>338.3</v>
      </c>
      <c r="H271" s="10">
        <v>67998.3</v>
      </c>
      <c r="I271" s="9" t="s">
        <v>21</v>
      </c>
      <c r="J271" s="9" t="s">
        <v>51</v>
      </c>
      <c r="K271" s="4">
        <v>5.0000000000000001E-3</v>
      </c>
      <c r="L271" t="str">
        <f>IF(pg_1[[#This Row],[Salary]]&gt;=90000, "Met minimum", "Not met minimum")</f>
        <v>Not met minimum</v>
      </c>
    </row>
    <row r="272" spans="1:12" x14ac:dyDescent="0.25">
      <c r="A272" s="8">
        <v>271</v>
      </c>
      <c r="B272" s="9" t="s">
        <v>321</v>
      </c>
      <c r="C272" s="9" t="s">
        <v>12</v>
      </c>
      <c r="D272" s="9" t="s">
        <v>37</v>
      </c>
      <c r="E272" t="s">
        <v>990</v>
      </c>
      <c r="F272" s="11">
        <v>34470</v>
      </c>
      <c r="G272" s="10">
        <v>1413.27</v>
      </c>
      <c r="H272" s="10">
        <v>35883.269999999997</v>
      </c>
      <c r="I272" s="9" t="s">
        <v>17</v>
      </c>
      <c r="J272" s="9" t="s">
        <v>14</v>
      </c>
      <c r="K272" s="4">
        <v>4.1000000000000002E-2</v>
      </c>
      <c r="L272" t="str">
        <f>IF(pg_1[[#This Row],[Salary]]&gt;=90000, "Met minimum", "Not met minimum")</f>
        <v>Not met minimum</v>
      </c>
    </row>
    <row r="273" spans="1:12" x14ac:dyDescent="0.25">
      <c r="A273" s="8">
        <v>272</v>
      </c>
      <c r="B273" s="9" t="s">
        <v>322</v>
      </c>
      <c r="C273" s="9" t="s">
        <v>12</v>
      </c>
      <c r="D273" s="9" t="s">
        <v>8</v>
      </c>
      <c r="E273" t="s">
        <v>990</v>
      </c>
      <c r="F273" s="11">
        <v>38240</v>
      </c>
      <c r="G273" s="10">
        <v>0</v>
      </c>
      <c r="H273" s="10">
        <v>38240</v>
      </c>
      <c r="I273" s="9" t="s">
        <v>21</v>
      </c>
      <c r="J273" s="9" t="s">
        <v>18</v>
      </c>
      <c r="K273" s="4">
        <v>0</v>
      </c>
      <c r="L273" t="str">
        <f>IF(pg_1[[#This Row],[Salary]]&gt;=90000, "Met minimum", "Not met minimum")</f>
        <v>Not met minimum</v>
      </c>
    </row>
    <row r="274" spans="1:12" x14ac:dyDescent="0.25">
      <c r="A274" s="8">
        <v>273</v>
      </c>
      <c r="B274" s="9" t="s">
        <v>323</v>
      </c>
      <c r="C274" s="9" t="s">
        <v>12</v>
      </c>
      <c r="D274" s="9" t="s">
        <v>13</v>
      </c>
      <c r="E274" t="s">
        <v>992</v>
      </c>
      <c r="F274" s="11">
        <v>78380</v>
      </c>
      <c r="G274" s="10">
        <v>391.90000000000003</v>
      </c>
      <c r="H274" s="10">
        <v>78771.899999999994</v>
      </c>
      <c r="I274" s="9" t="s">
        <v>17</v>
      </c>
      <c r="J274" s="9" t="s">
        <v>51</v>
      </c>
      <c r="K274" s="4">
        <v>5.0000000000000001E-3</v>
      </c>
      <c r="L274" t="str">
        <f>IF(pg_1[[#This Row],[Salary]]&gt;=90000, "Met minimum", "Not met minimum")</f>
        <v>Not met minimum</v>
      </c>
    </row>
    <row r="275" spans="1:12" x14ac:dyDescent="0.25">
      <c r="A275" s="8">
        <v>274</v>
      </c>
      <c r="B275" s="9" t="s">
        <v>324</v>
      </c>
      <c r="C275" s="9" t="s">
        <v>12</v>
      </c>
      <c r="D275" s="9" t="s">
        <v>34</v>
      </c>
      <c r="E275" t="s">
        <v>992</v>
      </c>
      <c r="F275" s="11">
        <v>72500</v>
      </c>
      <c r="G275" s="10">
        <v>1740</v>
      </c>
      <c r="H275" s="10">
        <v>74240</v>
      </c>
      <c r="I275" s="9" t="s">
        <v>9</v>
      </c>
      <c r="J275" s="9" t="s">
        <v>28</v>
      </c>
      <c r="K275" s="4">
        <v>2.4E-2</v>
      </c>
      <c r="L275" t="str">
        <f>IF(pg_1[[#This Row],[Salary]]&gt;=90000, "Met minimum", "Not met minimum")</f>
        <v>Not met minimum</v>
      </c>
    </row>
    <row r="276" spans="1:12" x14ac:dyDescent="0.25">
      <c r="A276" s="8">
        <v>275</v>
      </c>
      <c r="B276" s="9" t="s">
        <v>325</v>
      </c>
      <c r="C276" s="9" t="s">
        <v>12</v>
      </c>
      <c r="D276" s="9" t="s">
        <v>13</v>
      </c>
      <c r="E276" t="s">
        <v>991</v>
      </c>
      <c r="F276" s="11">
        <v>115640</v>
      </c>
      <c r="G276" s="10">
        <v>4047.4000000000005</v>
      </c>
      <c r="H276" s="10">
        <v>119687.4</v>
      </c>
      <c r="I276" s="9" t="s">
        <v>17</v>
      </c>
      <c r="J276" s="9" t="s">
        <v>28</v>
      </c>
      <c r="K276" s="4">
        <v>3.5000000000000003E-2</v>
      </c>
      <c r="L276" t="str">
        <f>IF(pg_1[[#This Row],[Salary]]&gt;=90000, "Met minimum", "Not met minimum")</f>
        <v>Met minimum</v>
      </c>
    </row>
    <row r="277" spans="1:12" x14ac:dyDescent="0.25">
      <c r="A277" s="8">
        <v>276</v>
      </c>
      <c r="B277" s="9" t="s">
        <v>327</v>
      </c>
      <c r="C277" s="9" t="s">
        <v>12</v>
      </c>
      <c r="D277" s="9" t="s">
        <v>37</v>
      </c>
      <c r="E277" t="s">
        <v>985</v>
      </c>
      <c r="F277" s="11">
        <v>82120</v>
      </c>
      <c r="G277" s="10">
        <v>2627.84</v>
      </c>
      <c r="H277" s="10">
        <v>84747.839999999997</v>
      </c>
      <c r="I277" s="9" t="s">
        <v>9</v>
      </c>
      <c r="J277" s="9" t="s">
        <v>28</v>
      </c>
      <c r="K277" s="4">
        <v>3.2000000000000001E-2</v>
      </c>
      <c r="L277" t="str">
        <f>IF(pg_1[[#This Row],[Salary]]&gt;=90000, "Met minimum", "Not met minimum")</f>
        <v>Not met minimum</v>
      </c>
    </row>
    <row r="278" spans="1:12" x14ac:dyDescent="0.25">
      <c r="A278" s="8">
        <v>277</v>
      </c>
      <c r="B278" s="9" t="s">
        <v>328</v>
      </c>
      <c r="C278" s="9" t="s">
        <v>7</v>
      </c>
      <c r="D278" s="9" t="s">
        <v>31</v>
      </c>
      <c r="E278" t="s">
        <v>988</v>
      </c>
      <c r="F278" s="11">
        <v>108160</v>
      </c>
      <c r="G278" s="10">
        <v>5732.48</v>
      </c>
      <c r="H278" s="10">
        <v>113892.48</v>
      </c>
      <c r="I278" s="9" t="s">
        <v>9</v>
      </c>
      <c r="J278" s="9" t="s">
        <v>14</v>
      </c>
      <c r="K278" s="4">
        <v>5.2999999999999999E-2</v>
      </c>
      <c r="L278" t="str">
        <f>IF(pg_1[[#This Row],[Salary]]&gt;=90000, "Met minimum", "Not met minimum")</f>
        <v>Met minimum</v>
      </c>
    </row>
    <row r="279" spans="1:12" x14ac:dyDescent="0.25">
      <c r="A279" s="8">
        <v>278</v>
      </c>
      <c r="B279" s="9" t="s">
        <v>329</v>
      </c>
      <c r="C279" s="9" t="s">
        <v>7</v>
      </c>
      <c r="D279" s="9" t="s">
        <v>8</v>
      </c>
      <c r="E279" t="s">
        <v>988</v>
      </c>
      <c r="F279" s="11">
        <v>108360</v>
      </c>
      <c r="G279" s="10">
        <v>2275.56</v>
      </c>
      <c r="H279" s="10">
        <v>110635.56</v>
      </c>
      <c r="I279" s="9" t="s">
        <v>17</v>
      </c>
      <c r="J279" s="9" t="s">
        <v>28</v>
      </c>
      <c r="K279" s="4">
        <v>2.1000000000000001E-2</v>
      </c>
      <c r="L279" t="str">
        <f>IF(pg_1[[#This Row],[Salary]]&gt;=90000, "Met minimum", "Not met minimum")</f>
        <v>Met minimum</v>
      </c>
    </row>
    <row r="280" spans="1:12" x14ac:dyDescent="0.25">
      <c r="A280" s="8">
        <v>279</v>
      </c>
      <c r="B280" s="9" t="s">
        <v>330</v>
      </c>
      <c r="C280" s="9" t="s">
        <v>12</v>
      </c>
      <c r="D280" s="9" t="s">
        <v>27</v>
      </c>
      <c r="E280" t="s">
        <v>992</v>
      </c>
      <c r="F280" s="11">
        <v>77840</v>
      </c>
      <c r="G280" s="10">
        <v>1011.92</v>
      </c>
      <c r="H280" s="10">
        <v>78851.92</v>
      </c>
      <c r="I280" s="9" t="s">
        <v>17</v>
      </c>
      <c r="J280" s="9" t="s">
        <v>24</v>
      </c>
      <c r="K280" s="4">
        <v>1.2999999999999999E-2</v>
      </c>
      <c r="L280" t="str">
        <f>IF(pg_1[[#This Row],[Salary]]&gt;=90000, "Met minimum", "Not met minimum")</f>
        <v>Not met minimum</v>
      </c>
    </row>
    <row r="281" spans="1:12" x14ac:dyDescent="0.25">
      <c r="A281" s="8">
        <v>280</v>
      </c>
      <c r="B281" s="9" t="s">
        <v>331</v>
      </c>
      <c r="C281" s="9" t="s">
        <v>12</v>
      </c>
      <c r="D281" s="9" t="s">
        <v>31</v>
      </c>
      <c r="E281" t="s">
        <v>985</v>
      </c>
      <c r="F281" s="11">
        <v>85180</v>
      </c>
      <c r="G281" s="10">
        <v>1277.7</v>
      </c>
      <c r="H281" s="10">
        <v>86457.7</v>
      </c>
      <c r="I281" s="9" t="s">
        <v>21</v>
      </c>
      <c r="J281" s="9" t="s">
        <v>24</v>
      </c>
      <c r="K281" s="4">
        <v>1.4999999999999999E-2</v>
      </c>
      <c r="L281" t="str">
        <f>IF(pg_1[[#This Row],[Salary]]&gt;=90000, "Met minimum", "Not met minimum")</f>
        <v>Not met minimum</v>
      </c>
    </row>
    <row r="282" spans="1:12" x14ac:dyDescent="0.25">
      <c r="A282" s="8">
        <v>281</v>
      </c>
      <c r="B282" s="9" t="s">
        <v>332</v>
      </c>
      <c r="C282" s="9" t="s">
        <v>7</v>
      </c>
      <c r="D282" s="9" t="s">
        <v>34</v>
      </c>
      <c r="E282" t="s">
        <v>985</v>
      </c>
      <c r="F282" s="11">
        <v>85920</v>
      </c>
      <c r="G282" s="10">
        <v>1546.56</v>
      </c>
      <c r="H282" s="10">
        <v>87466.559999999998</v>
      </c>
      <c r="I282" s="9" t="s">
        <v>17</v>
      </c>
      <c r="J282" s="9" t="s">
        <v>24</v>
      </c>
      <c r="K282" s="4">
        <v>1.7999999999999999E-2</v>
      </c>
      <c r="L282" t="str">
        <f>IF(pg_1[[#This Row],[Salary]]&gt;=90000, "Met minimum", "Not met minimum")</f>
        <v>Not met minimum</v>
      </c>
    </row>
    <row r="283" spans="1:12" x14ac:dyDescent="0.25">
      <c r="A283" s="8">
        <v>282</v>
      </c>
      <c r="B283" s="9" t="s">
        <v>333</v>
      </c>
      <c r="C283" s="9" t="s">
        <v>12</v>
      </c>
      <c r="D283" s="9" t="s">
        <v>27</v>
      </c>
      <c r="E283" t="s">
        <v>988</v>
      </c>
      <c r="F283" s="11">
        <v>106490</v>
      </c>
      <c r="G283" s="10">
        <v>2875.23</v>
      </c>
      <c r="H283" s="10">
        <v>109365.23</v>
      </c>
      <c r="I283" s="9" t="s">
        <v>21</v>
      </c>
      <c r="J283" s="9" t="s">
        <v>28</v>
      </c>
      <c r="K283" s="4">
        <v>2.7E-2</v>
      </c>
      <c r="L283" t="str">
        <f>IF(pg_1[[#This Row],[Salary]]&gt;=90000, "Met minimum", "Not met minimum")</f>
        <v>Met minimum</v>
      </c>
    </row>
    <row r="284" spans="1:12" x14ac:dyDescent="0.25">
      <c r="A284" s="8">
        <v>283</v>
      </c>
      <c r="B284" s="9" t="s">
        <v>334</v>
      </c>
      <c r="C284" s="9" t="s">
        <v>7</v>
      </c>
      <c r="D284" s="9" t="s">
        <v>20</v>
      </c>
      <c r="E284" t="s">
        <v>990</v>
      </c>
      <c r="F284" s="11">
        <v>38520</v>
      </c>
      <c r="G284" s="10">
        <v>731.88</v>
      </c>
      <c r="H284" s="10">
        <v>39251.879999999997</v>
      </c>
      <c r="I284" s="9" t="s">
        <v>9</v>
      </c>
      <c r="J284" s="9" t="s">
        <v>24</v>
      </c>
      <c r="K284" s="4">
        <v>1.9E-2</v>
      </c>
      <c r="L284" t="str">
        <f>IF(pg_1[[#This Row],[Salary]]&gt;=90000, "Met minimum", "Not met minimum")</f>
        <v>Not met minimum</v>
      </c>
    </row>
    <row r="285" spans="1:12" x14ac:dyDescent="0.25">
      <c r="A285" s="8">
        <v>284</v>
      </c>
      <c r="B285" s="9" t="s">
        <v>335</v>
      </c>
      <c r="C285" s="9" t="s">
        <v>12</v>
      </c>
      <c r="D285" s="9" t="s">
        <v>42</v>
      </c>
      <c r="E285" t="s">
        <v>989</v>
      </c>
      <c r="F285" s="11">
        <v>49530</v>
      </c>
      <c r="G285" s="10">
        <v>1981.2</v>
      </c>
      <c r="H285" s="10">
        <v>51511.199999999997</v>
      </c>
      <c r="I285" s="9" t="s">
        <v>9</v>
      </c>
      <c r="J285" s="9" t="s">
        <v>28</v>
      </c>
      <c r="K285" s="4">
        <v>0.04</v>
      </c>
      <c r="L285" t="str">
        <f>IF(pg_1[[#This Row],[Salary]]&gt;=90000, "Met minimum", "Not met minimum")</f>
        <v>Not met minimum</v>
      </c>
    </row>
    <row r="286" spans="1:12" x14ac:dyDescent="0.25">
      <c r="A286" s="8">
        <v>285</v>
      </c>
      <c r="B286" s="9" t="s">
        <v>336</v>
      </c>
      <c r="C286" s="9" t="s">
        <v>7</v>
      </c>
      <c r="D286" s="9" t="s">
        <v>37</v>
      </c>
      <c r="E286" t="s">
        <v>993</v>
      </c>
      <c r="F286" s="11">
        <v>29610</v>
      </c>
      <c r="G286" s="10">
        <v>947.52</v>
      </c>
      <c r="H286" s="10">
        <v>30557.52</v>
      </c>
      <c r="I286" s="9" t="s">
        <v>17</v>
      </c>
      <c r="J286" s="9" t="s">
        <v>28</v>
      </c>
      <c r="K286" s="4">
        <v>3.2000000000000001E-2</v>
      </c>
      <c r="L286" t="str">
        <f>IF(pg_1[[#This Row],[Salary]]&gt;=90000, "Met minimum", "Not met minimum")</f>
        <v>Not met minimum</v>
      </c>
    </row>
    <row r="287" spans="1:12" x14ac:dyDescent="0.25">
      <c r="A287" s="8">
        <v>286</v>
      </c>
      <c r="B287" s="9" t="s">
        <v>337</v>
      </c>
      <c r="C287" s="9" t="s">
        <v>7</v>
      </c>
      <c r="D287" s="9" t="s">
        <v>42</v>
      </c>
      <c r="E287" t="s">
        <v>985</v>
      </c>
      <c r="F287" s="11">
        <v>84170</v>
      </c>
      <c r="G287" s="10">
        <v>4966.03</v>
      </c>
      <c r="H287" s="10">
        <v>89136.03</v>
      </c>
      <c r="I287" s="9" t="s">
        <v>17</v>
      </c>
      <c r="J287" s="9" t="s">
        <v>14</v>
      </c>
      <c r="K287" s="4">
        <v>5.8999999999999997E-2</v>
      </c>
      <c r="L287" t="str">
        <f>IF(pg_1[[#This Row],[Salary]]&gt;=90000, "Met minimum", "Not met minimum")</f>
        <v>Not met minimum</v>
      </c>
    </row>
    <row r="288" spans="1:12" x14ac:dyDescent="0.25">
      <c r="A288" s="8">
        <v>287</v>
      </c>
      <c r="B288" s="9" t="s">
        <v>338</v>
      </c>
      <c r="C288" s="9" t="s">
        <v>7</v>
      </c>
      <c r="D288" s="9" t="s">
        <v>23</v>
      </c>
      <c r="E288" t="s">
        <v>994</v>
      </c>
      <c r="F288" s="11">
        <v>92190</v>
      </c>
      <c r="G288" s="10">
        <v>2581.3200000000002</v>
      </c>
      <c r="H288" s="10">
        <v>94771.32</v>
      </c>
      <c r="I288" s="9" t="s">
        <v>17</v>
      </c>
      <c r="J288" s="9" t="s">
        <v>28</v>
      </c>
      <c r="K288" s="4">
        <v>2.8000000000000001E-2</v>
      </c>
      <c r="L288" t="str">
        <f>IF(pg_1[[#This Row],[Salary]]&gt;=90000, "Met minimum", "Not met minimum")</f>
        <v>Met minimum</v>
      </c>
    </row>
    <row r="289" spans="1:12" x14ac:dyDescent="0.25">
      <c r="A289" s="8">
        <v>288</v>
      </c>
      <c r="B289" s="9" t="s">
        <v>340</v>
      </c>
      <c r="C289" s="9" t="s">
        <v>7</v>
      </c>
      <c r="D289" s="9" t="s">
        <v>27</v>
      </c>
      <c r="E289" t="s">
        <v>985</v>
      </c>
      <c r="F289" s="11">
        <v>87850</v>
      </c>
      <c r="G289" s="10">
        <v>4743.8999999999996</v>
      </c>
      <c r="H289" s="10">
        <v>92593.9</v>
      </c>
      <c r="I289" s="9" t="s">
        <v>21</v>
      </c>
      <c r="J289" s="9" t="s">
        <v>14</v>
      </c>
      <c r="K289" s="4">
        <v>5.3999999999999999E-2</v>
      </c>
      <c r="L289" t="str">
        <f>IF(pg_1[[#This Row],[Salary]]&gt;=90000, "Met minimum", "Not met minimum")</f>
        <v>Not met minimum</v>
      </c>
    </row>
    <row r="290" spans="1:12" x14ac:dyDescent="0.25">
      <c r="A290" s="8">
        <v>289</v>
      </c>
      <c r="B290" s="9" t="s">
        <v>341</v>
      </c>
      <c r="C290" s="9" t="s">
        <v>7</v>
      </c>
      <c r="D290" s="9" t="s">
        <v>34</v>
      </c>
      <c r="E290" t="s">
        <v>989</v>
      </c>
      <c r="F290" s="11">
        <v>43700</v>
      </c>
      <c r="G290" s="10">
        <v>1048.8</v>
      </c>
      <c r="H290" s="10">
        <v>44748.800000000003</v>
      </c>
      <c r="I290" s="9" t="s">
        <v>9</v>
      </c>
      <c r="J290" s="9" t="s">
        <v>28</v>
      </c>
      <c r="K290" s="4">
        <v>2.4E-2</v>
      </c>
      <c r="L290" t="str">
        <f>IF(pg_1[[#This Row],[Salary]]&gt;=90000, "Met minimum", "Not met minimum")</f>
        <v>Not met minimum</v>
      </c>
    </row>
    <row r="291" spans="1:12" x14ac:dyDescent="0.25">
      <c r="A291" s="8">
        <v>290</v>
      </c>
      <c r="B291" s="9" t="s">
        <v>342</v>
      </c>
      <c r="C291" s="9" t="s">
        <v>12</v>
      </c>
      <c r="D291" s="9" t="s">
        <v>31</v>
      </c>
      <c r="E291" t="s">
        <v>985</v>
      </c>
      <c r="F291" s="11">
        <v>88690</v>
      </c>
      <c r="G291" s="10">
        <v>0</v>
      </c>
      <c r="H291" s="10">
        <v>88690</v>
      </c>
      <c r="I291" s="9" t="s">
        <v>9</v>
      </c>
      <c r="J291" s="9" t="s">
        <v>18</v>
      </c>
      <c r="K291" s="4">
        <v>0</v>
      </c>
      <c r="L291" t="str">
        <f>IF(pg_1[[#This Row],[Salary]]&gt;=90000, "Met minimum", "Not met minimum")</f>
        <v>Not met minimum</v>
      </c>
    </row>
    <row r="292" spans="1:12" x14ac:dyDescent="0.25">
      <c r="A292" s="8">
        <v>291</v>
      </c>
      <c r="B292" s="9" t="s">
        <v>343</v>
      </c>
      <c r="C292" s="9" t="s">
        <v>7</v>
      </c>
      <c r="D292" s="9" t="s">
        <v>67</v>
      </c>
      <c r="E292" t="s">
        <v>990</v>
      </c>
      <c r="F292" s="11">
        <v>31820</v>
      </c>
      <c r="G292" s="10">
        <v>1113.7</v>
      </c>
      <c r="H292" s="10">
        <v>32933.699999999997</v>
      </c>
      <c r="I292" s="9" t="s">
        <v>9</v>
      </c>
      <c r="J292" s="9" t="s">
        <v>28</v>
      </c>
      <c r="K292" s="4">
        <v>3.5000000000000003E-2</v>
      </c>
      <c r="L292" t="str">
        <f>IF(pg_1[[#This Row],[Salary]]&gt;=90000, "Met minimum", "Not met minimum")</f>
        <v>Not met minimum</v>
      </c>
    </row>
    <row r="293" spans="1:12" x14ac:dyDescent="0.25">
      <c r="A293" s="8">
        <v>292</v>
      </c>
      <c r="B293" s="9" t="s">
        <v>344</v>
      </c>
      <c r="C293" s="9" t="s">
        <v>7</v>
      </c>
      <c r="D293" s="9" t="s">
        <v>67</v>
      </c>
      <c r="E293" t="s">
        <v>992</v>
      </c>
      <c r="F293" s="11">
        <v>70230</v>
      </c>
      <c r="G293" s="10">
        <v>2458.0500000000002</v>
      </c>
      <c r="H293" s="10">
        <v>72688.05</v>
      </c>
      <c r="I293" s="9" t="s">
        <v>21</v>
      </c>
      <c r="J293" s="9" t="s">
        <v>28</v>
      </c>
      <c r="K293" s="4">
        <v>3.5000000000000003E-2</v>
      </c>
      <c r="L293" t="str">
        <f>IF(pg_1[[#This Row],[Salary]]&gt;=90000, "Met minimum", "Not met minimum")</f>
        <v>Not met minimum</v>
      </c>
    </row>
    <row r="294" spans="1:12" x14ac:dyDescent="0.25">
      <c r="A294" s="8">
        <v>293</v>
      </c>
      <c r="B294" s="9" t="s">
        <v>345</v>
      </c>
      <c r="C294" s="9" t="s">
        <v>7</v>
      </c>
      <c r="D294" s="9" t="s">
        <v>20</v>
      </c>
      <c r="E294" t="s">
        <v>994</v>
      </c>
      <c r="F294" s="11">
        <v>96320</v>
      </c>
      <c r="G294" s="10">
        <v>2022.72</v>
      </c>
      <c r="H294" s="10">
        <v>98342.720000000001</v>
      </c>
      <c r="I294" s="9" t="s">
        <v>17</v>
      </c>
      <c r="J294" s="9" t="s">
        <v>28</v>
      </c>
      <c r="K294" s="4">
        <v>2.1000000000000001E-2</v>
      </c>
      <c r="L294" t="str">
        <f>IF(pg_1[[#This Row],[Salary]]&gt;=90000, "Met minimum", "Not met minimum")</f>
        <v>Met minimum</v>
      </c>
    </row>
    <row r="295" spans="1:12" x14ac:dyDescent="0.25">
      <c r="A295" s="8">
        <v>294</v>
      </c>
      <c r="B295" s="9" t="s">
        <v>346</v>
      </c>
      <c r="C295" s="9" t="s">
        <v>7</v>
      </c>
      <c r="D295" s="9" t="s">
        <v>20</v>
      </c>
      <c r="E295" t="s">
        <v>994</v>
      </c>
      <c r="F295" s="11">
        <v>90700</v>
      </c>
      <c r="G295" s="10">
        <v>453.5</v>
      </c>
      <c r="H295" s="10">
        <v>91153.5</v>
      </c>
      <c r="I295" s="9" t="s">
        <v>17</v>
      </c>
      <c r="J295" s="9" t="s">
        <v>51</v>
      </c>
      <c r="K295" s="4">
        <v>5.0000000000000001E-3</v>
      </c>
      <c r="L295" t="str">
        <f>IF(pg_1[[#This Row],[Salary]]&gt;=90000, "Met minimum", "Not met minimum")</f>
        <v>Met minimum</v>
      </c>
    </row>
    <row r="296" spans="1:12" x14ac:dyDescent="0.25">
      <c r="A296" s="8">
        <v>295</v>
      </c>
      <c r="B296" s="9" t="s">
        <v>347</v>
      </c>
      <c r="C296" s="9" t="s">
        <v>12</v>
      </c>
      <c r="D296" s="9" t="s">
        <v>31</v>
      </c>
      <c r="E296" t="s">
        <v>986</v>
      </c>
      <c r="F296" s="11">
        <v>67960</v>
      </c>
      <c r="G296" s="10">
        <v>1563.08</v>
      </c>
      <c r="H296" s="10">
        <v>69523.08</v>
      </c>
      <c r="I296" s="9" t="s">
        <v>21</v>
      </c>
      <c r="J296" s="9" t="s">
        <v>28</v>
      </c>
      <c r="K296" s="4">
        <v>2.3E-2</v>
      </c>
      <c r="L296" t="str">
        <f>IF(pg_1[[#This Row],[Salary]]&gt;=90000, "Met minimum", "Not met minimum")</f>
        <v>Not met minimum</v>
      </c>
    </row>
    <row r="297" spans="1:12" x14ac:dyDescent="0.25">
      <c r="A297" s="8">
        <v>296</v>
      </c>
      <c r="B297" s="9" t="s">
        <v>348</v>
      </c>
      <c r="C297" s="9" t="s">
        <v>7</v>
      </c>
      <c r="D297" s="9" t="s">
        <v>31</v>
      </c>
      <c r="E297" t="s">
        <v>988</v>
      </c>
      <c r="F297" s="11">
        <v>103110</v>
      </c>
      <c r="G297" s="10">
        <v>5464.83</v>
      </c>
      <c r="H297" s="10">
        <v>108574.83</v>
      </c>
      <c r="I297" s="9" t="s">
        <v>21</v>
      </c>
      <c r="J297" s="9" t="s">
        <v>14</v>
      </c>
      <c r="K297" s="4">
        <v>5.2999999999999999E-2</v>
      </c>
      <c r="L297" t="str">
        <f>IF(pg_1[[#This Row],[Salary]]&gt;=90000, "Met minimum", "Not met minimum")</f>
        <v>Met minimum</v>
      </c>
    </row>
    <row r="298" spans="1:12" x14ac:dyDescent="0.25">
      <c r="A298" s="8">
        <v>297</v>
      </c>
      <c r="B298" s="9" t="s">
        <v>349</v>
      </c>
      <c r="C298" s="9" t="s">
        <v>12</v>
      </c>
      <c r="D298" s="9" t="s">
        <v>13</v>
      </c>
      <c r="E298" t="s">
        <v>987</v>
      </c>
      <c r="F298" s="11">
        <v>59610</v>
      </c>
      <c r="G298" s="10">
        <v>2563.23</v>
      </c>
      <c r="H298" s="10">
        <v>62173.23</v>
      </c>
      <c r="I298" s="9" t="s">
        <v>9</v>
      </c>
      <c r="J298" s="9" t="s">
        <v>14</v>
      </c>
      <c r="K298" s="4">
        <v>4.2999999999999997E-2</v>
      </c>
      <c r="L298" t="str">
        <f>IF(pg_1[[#This Row],[Salary]]&gt;=90000, "Met minimum", "Not met minimum")</f>
        <v>Not met minimum</v>
      </c>
    </row>
    <row r="299" spans="1:12" x14ac:dyDescent="0.25">
      <c r="A299" s="8">
        <v>298</v>
      </c>
      <c r="B299" s="9" t="s">
        <v>350</v>
      </c>
      <c r="C299" s="9" t="s">
        <v>7</v>
      </c>
      <c r="D299" s="9" t="s">
        <v>20</v>
      </c>
      <c r="E299" t="s">
        <v>986</v>
      </c>
      <c r="F299" s="11">
        <v>66570</v>
      </c>
      <c r="G299" s="10">
        <v>1264.83</v>
      </c>
      <c r="H299" s="10">
        <v>67834.83</v>
      </c>
      <c r="I299" s="9" t="s">
        <v>17</v>
      </c>
      <c r="J299" s="9" t="s">
        <v>24</v>
      </c>
      <c r="K299" s="4">
        <v>1.9E-2</v>
      </c>
      <c r="L299" t="str">
        <f>IF(pg_1[[#This Row],[Salary]]&gt;=90000, "Met minimum", "Not met minimum")</f>
        <v>Not met minimum</v>
      </c>
    </row>
    <row r="300" spans="1:12" x14ac:dyDescent="0.25">
      <c r="A300" s="8">
        <v>299</v>
      </c>
      <c r="B300" s="9" t="s">
        <v>351</v>
      </c>
      <c r="C300" s="9" t="s">
        <v>12</v>
      </c>
      <c r="D300" s="9" t="s">
        <v>53</v>
      </c>
      <c r="E300" t="s">
        <v>992</v>
      </c>
      <c r="F300" s="11">
        <v>74390</v>
      </c>
      <c r="G300" s="10">
        <v>1487.8</v>
      </c>
      <c r="H300" s="10">
        <v>75877.8</v>
      </c>
      <c r="I300" s="9" t="s">
        <v>21</v>
      </c>
      <c r="J300" s="9" t="s">
        <v>28</v>
      </c>
      <c r="K300" s="4">
        <v>0.02</v>
      </c>
      <c r="L300" t="str">
        <f>IF(pg_1[[#This Row],[Salary]]&gt;=90000, "Met minimum", "Not met minimum")</f>
        <v>Not met minimum</v>
      </c>
    </row>
    <row r="301" spans="1:12" x14ac:dyDescent="0.25">
      <c r="A301" s="8">
        <v>300</v>
      </c>
      <c r="B301" s="9" t="s">
        <v>352</v>
      </c>
      <c r="C301" s="9" t="s">
        <v>970</v>
      </c>
      <c r="D301" s="9" t="s">
        <v>13</v>
      </c>
      <c r="E301" t="s">
        <v>986</v>
      </c>
      <c r="F301" s="11">
        <v>67010</v>
      </c>
      <c r="G301" s="10">
        <v>2881.43</v>
      </c>
      <c r="H301" s="10">
        <v>69891.429999999993</v>
      </c>
      <c r="I301" s="9" t="s">
        <v>17</v>
      </c>
      <c r="J301" s="9" t="s">
        <v>14</v>
      </c>
      <c r="K301" s="4">
        <v>4.2999999999999997E-2</v>
      </c>
      <c r="L301" t="str">
        <f>IF(pg_1[[#This Row],[Salary]]&gt;=90000, "Met minimum", "Not met minimum")</f>
        <v>Not met minimum</v>
      </c>
    </row>
    <row r="302" spans="1:12" x14ac:dyDescent="0.25">
      <c r="A302" s="8">
        <v>301</v>
      </c>
      <c r="B302" s="9" t="s">
        <v>353</v>
      </c>
      <c r="C302" s="9" t="s">
        <v>7</v>
      </c>
      <c r="D302" s="9" t="s">
        <v>50</v>
      </c>
      <c r="E302" t="s">
        <v>988</v>
      </c>
      <c r="F302" s="11">
        <v>109710</v>
      </c>
      <c r="G302" s="10">
        <v>3620.4300000000003</v>
      </c>
      <c r="H302" s="10">
        <v>113330.43</v>
      </c>
      <c r="I302" s="9" t="s">
        <v>17</v>
      </c>
      <c r="J302" s="9" t="s">
        <v>28</v>
      </c>
      <c r="K302" s="4">
        <v>3.3000000000000002E-2</v>
      </c>
      <c r="L302" t="str">
        <f>IF(pg_1[[#This Row],[Salary]]&gt;=90000, "Met minimum", "Not met minimum")</f>
        <v>Met minimum</v>
      </c>
    </row>
    <row r="303" spans="1:12" x14ac:dyDescent="0.25">
      <c r="A303" s="8">
        <v>302</v>
      </c>
      <c r="B303" s="9" t="s">
        <v>354</v>
      </c>
      <c r="C303" s="9" t="s">
        <v>12</v>
      </c>
      <c r="D303" s="9" t="s">
        <v>37</v>
      </c>
      <c r="E303" t="s">
        <v>991</v>
      </c>
      <c r="F303" s="11">
        <v>110910</v>
      </c>
      <c r="G303" s="10">
        <v>3549.12</v>
      </c>
      <c r="H303" s="10">
        <v>114459.12</v>
      </c>
      <c r="I303" s="9" t="s">
        <v>9</v>
      </c>
      <c r="J303" s="9" t="s">
        <v>28</v>
      </c>
      <c r="K303" s="4">
        <v>3.2000000000000001E-2</v>
      </c>
      <c r="L303" t="str">
        <f>IF(pg_1[[#This Row],[Salary]]&gt;=90000, "Met minimum", "Not met minimum")</f>
        <v>Met minimum</v>
      </c>
    </row>
    <row r="304" spans="1:12" x14ac:dyDescent="0.25">
      <c r="A304" s="8">
        <v>303</v>
      </c>
      <c r="B304" s="9" t="s">
        <v>355</v>
      </c>
      <c r="C304" s="9" t="s">
        <v>12</v>
      </c>
      <c r="D304" s="9" t="s">
        <v>23</v>
      </c>
      <c r="E304" t="s">
        <v>985</v>
      </c>
      <c r="F304" s="11">
        <v>80060</v>
      </c>
      <c r="G304" s="10">
        <v>6084.5599999999995</v>
      </c>
      <c r="H304" s="10">
        <v>86144.56</v>
      </c>
      <c r="I304" s="9" t="s">
        <v>21</v>
      </c>
      <c r="J304" s="9" t="s">
        <v>10</v>
      </c>
      <c r="K304" s="4">
        <v>7.5999999999999998E-2</v>
      </c>
      <c r="L304" t="str">
        <f>IF(pg_1[[#This Row],[Salary]]&gt;=90000, "Met minimum", "Not met minimum")</f>
        <v>Not met minimum</v>
      </c>
    </row>
    <row r="305" spans="1:12" x14ac:dyDescent="0.25">
      <c r="A305" s="8">
        <v>304</v>
      </c>
      <c r="B305" s="9" t="s">
        <v>356</v>
      </c>
      <c r="C305" s="9" t="s">
        <v>7</v>
      </c>
      <c r="D305" s="9" t="s">
        <v>42</v>
      </c>
      <c r="E305" t="s">
        <v>994</v>
      </c>
      <c r="F305" s="11">
        <v>99750</v>
      </c>
      <c r="G305" s="10">
        <v>3990</v>
      </c>
      <c r="H305" s="10">
        <v>103740</v>
      </c>
      <c r="I305" s="9" t="s">
        <v>9</v>
      </c>
      <c r="J305" s="9" t="s">
        <v>28</v>
      </c>
      <c r="K305" s="4">
        <v>0.04</v>
      </c>
      <c r="L305" t="str">
        <f>IF(pg_1[[#This Row],[Salary]]&gt;=90000, "Met minimum", "Not met minimum")</f>
        <v>Met minimum</v>
      </c>
    </row>
    <row r="306" spans="1:12" x14ac:dyDescent="0.25">
      <c r="A306" s="8">
        <v>305</v>
      </c>
      <c r="B306" s="9" t="s">
        <v>357</v>
      </c>
      <c r="C306" s="9" t="s">
        <v>7</v>
      </c>
      <c r="D306" s="9" t="s">
        <v>8</v>
      </c>
      <c r="E306" t="s">
        <v>988</v>
      </c>
      <c r="F306" s="11">
        <v>108250</v>
      </c>
      <c r="G306" s="10">
        <v>2273.25</v>
      </c>
      <c r="H306" s="10">
        <v>110523.25</v>
      </c>
      <c r="I306" s="9" t="s">
        <v>9</v>
      </c>
      <c r="J306" s="9" t="s">
        <v>28</v>
      </c>
      <c r="K306" s="4">
        <v>2.1000000000000001E-2</v>
      </c>
      <c r="L306" t="str">
        <f>IF(pg_1[[#This Row],[Salary]]&gt;=90000, "Met minimum", "Not met minimum")</f>
        <v>Met minimum</v>
      </c>
    </row>
    <row r="307" spans="1:12" x14ac:dyDescent="0.25">
      <c r="A307" s="8">
        <v>306</v>
      </c>
      <c r="B307" s="9" t="s">
        <v>358</v>
      </c>
      <c r="C307" s="9" t="s">
        <v>7</v>
      </c>
      <c r="D307" s="9" t="s">
        <v>37</v>
      </c>
      <c r="E307" t="s">
        <v>988</v>
      </c>
      <c r="F307" s="11">
        <v>104340</v>
      </c>
      <c r="G307" s="10">
        <v>3338.88</v>
      </c>
      <c r="H307" s="10">
        <v>107678.88</v>
      </c>
      <c r="I307" s="9" t="s">
        <v>21</v>
      </c>
      <c r="J307" s="9" t="s">
        <v>28</v>
      </c>
      <c r="K307" s="4">
        <v>3.2000000000000001E-2</v>
      </c>
      <c r="L307" t="str">
        <f>IF(pg_1[[#This Row],[Salary]]&gt;=90000, "Met minimum", "Not met minimum")</f>
        <v>Met minimum</v>
      </c>
    </row>
    <row r="308" spans="1:12" x14ac:dyDescent="0.25">
      <c r="A308" s="8">
        <v>307</v>
      </c>
      <c r="B308" s="9" t="s">
        <v>359</v>
      </c>
      <c r="C308" s="9" t="s">
        <v>12</v>
      </c>
      <c r="D308" s="9" t="s">
        <v>37</v>
      </c>
      <c r="E308" t="s">
        <v>990</v>
      </c>
      <c r="F308" s="11">
        <v>38440</v>
      </c>
      <c r="G308" s="10">
        <v>1230.08</v>
      </c>
      <c r="H308" s="10">
        <v>39670.080000000002</v>
      </c>
      <c r="I308" s="9" t="s">
        <v>9</v>
      </c>
      <c r="J308" s="9" t="s">
        <v>28</v>
      </c>
      <c r="K308" s="4">
        <v>3.2000000000000001E-2</v>
      </c>
      <c r="L308" t="str">
        <f>IF(pg_1[[#This Row],[Salary]]&gt;=90000, "Met minimum", "Not met minimum")</f>
        <v>Not met minimum</v>
      </c>
    </row>
    <row r="309" spans="1:12" x14ac:dyDescent="0.25">
      <c r="A309" s="8">
        <v>308</v>
      </c>
      <c r="B309" s="9" t="s">
        <v>360</v>
      </c>
      <c r="C309" s="9" t="s">
        <v>12</v>
      </c>
      <c r="D309" s="9" t="s">
        <v>23</v>
      </c>
      <c r="E309" t="s">
        <v>987</v>
      </c>
      <c r="F309" s="11">
        <v>50800</v>
      </c>
      <c r="G309" s="10">
        <v>3860.7999999999997</v>
      </c>
      <c r="H309" s="10">
        <v>54660.800000000003</v>
      </c>
      <c r="I309" s="9" t="s">
        <v>17</v>
      </c>
      <c r="J309" s="9" t="s">
        <v>10</v>
      </c>
      <c r="K309" s="4">
        <v>7.5999999999999998E-2</v>
      </c>
      <c r="L309" t="str">
        <f>IF(pg_1[[#This Row],[Salary]]&gt;=90000, "Met minimum", "Not met minimum")</f>
        <v>Not met minimum</v>
      </c>
    </row>
    <row r="310" spans="1:12" x14ac:dyDescent="0.25">
      <c r="A310" s="8">
        <v>309</v>
      </c>
      <c r="B310" s="9" t="s">
        <v>362</v>
      </c>
      <c r="C310" s="9" t="s">
        <v>12</v>
      </c>
      <c r="D310" s="9" t="s">
        <v>13</v>
      </c>
      <c r="E310" t="s">
        <v>990</v>
      </c>
      <c r="F310" s="11">
        <v>34980</v>
      </c>
      <c r="G310" s="10">
        <v>1504.1399999999999</v>
      </c>
      <c r="H310" s="10">
        <v>36484.14</v>
      </c>
      <c r="I310" s="9" t="s">
        <v>9</v>
      </c>
      <c r="J310" s="9" t="s">
        <v>14</v>
      </c>
      <c r="K310" s="4">
        <v>4.2999999999999997E-2</v>
      </c>
      <c r="L310" t="str">
        <f>IF(pg_1[[#This Row],[Salary]]&gt;=90000, "Met minimum", "Not met minimum")</f>
        <v>Not met minimum</v>
      </c>
    </row>
    <row r="311" spans="1:12" x14ac:dyDescent="0.25">
      <c r="A311" s="8">
        <v>310</v>
      </c>
      <c r="B311" s="9" t="s">
        <v>363</v>
      </c>
      <c r="C311" s="9" t="s">
        <v>12</v>
      </c>
      <c r="D311" s="9" t="s">
        <v>23</v>
      </c>
      <c r="E311" t="s">
        <v>992</v>
      </c>
      <c r="F311" s="11">
        <v>77260</v>
      </c>
      <c r="G311" s="10">
        <v>2163.2800000000002</v>
      </c>
      <c r="H311" s="10">
        <v>79423.28</v>
      </c>
      <c r="I311" s="9" t="s">
        <v>17</v>
      </c>
      <c r="J311" s="9" t="s">
        <v>28</v>
      </c>
      <c r="K311" s="4">
        <v>2.8000000000000001E-2</v>
      </c>
      <c r="L311" t="str">
        <f>IF(pg_1[[#This Row],[Salary]]&gt;=90000, "Met minimum", "Not met minimum")</f>
        <v>Not met minimum</v>
      </c>
    </row>
    <row r="312" spans="1:12" x14ac:dyDescent="0.25">
      <c r="A312" s="8">
        <v>311</v>
      </c>
      <c r="B312" s="9" t="s">
        <v>364</v>
      </c>
      <c r="C312" s="9" t="s">
        <v>12</v>
      </c>
      <c r="D312" s="9" t="s">
        <v>20</v>
      </c>
      <c r="E312" t="s">
        <v>991</v>
      </c>
      <c r="F312" s="11">
        <v>117940</v>
      </c>
      <c r="G312" s="10">
        <v>2476.7400000000002</v>
      </c>
      <c r="H312" s="10">
        <v>120416.74</v>
      </c>
      <c r="I312" s="9" t="s">
        <v>9</v>
      </c>
      <c r="J312" s="9" t="s">
        <v>28</v>
      </c>
      <c r="K312" s="4">
        <v>2.1000000000000001E-2</v>
      </c>
      <c r="L312" t="str">
        <f>IF(pg_1[[#This Row],[Salary]]&gt;=90000, "Met minimum", "Not met minimum")</f>
        <v>Met minimum</v>
      </c>
    </row>
    <row r="313" spans="1:12" x14ac:dyDescent="0.25">
      <c r="A313" s="8">
        <v>312</v>
      </c>
      <c r="B313" s="9" t="s">
        <v>365</v>
      </c>
      <c r="C313" s="9" t="s">
        <v>12</v>
      </c>
      <c r="D313" s="9" t="s">
        <v>20</v>
      </c>
      <c r="E313" t="s">
        <v>990</v>
      </c>
      <c r="F313" s="11">
        <v>31040</v>
      </c>
      <c r="G313" s="10">
        <v>1676.16</v>
      </c>
      <c r="H313" s="10">
        <v>32716.16</v>
      </c>
      <c r="I313" s="9" t="s">
        <v>17</v>
      </c>
      <c r="J313" s="9" t="s">
        <v>14</v>
      </c>
      <c r="K313" s="4">
        <v>5.3999999999999999E-2</v>
      </c>
      <c r="L313" t="str">
        <f>IF(pg_1[[#This Row],[Salary]]&gt;=90000, "Met minimum", "Not met minimum")</f>
        <v>Not met minimum</v>
      </c>
    </row>
    <row r="314" spans="1:12" x14ac:dyDescent="0.25">
      <c r="A314" s="8">
        <v>313</v>
      </c>
      <c r="B314" s="9" t="s">
        <v>368</v>
      </c>
      <c r="C314" s="9" t="s">
        <v>7</v>
      </c>
      <c r="D314" s="9" t="s">
        <v>31</v>
      </c>
      <c r="E314" t="s">
        <v>994</v>
      </c>
      <c r="F314" s="11">
        <v>96370</v>
      </c>
      <c r="G314" s="10">
        <v>0</v>
      </c>
      <c r="H314" s="10">
        <v>96370</v>
      </c>
      <c r="I314" s="9" t="s">
        <v>9</v>
      </c>
      <c r="J314" s="9" t="s">
        <v>18</v>
      </c>
      <c r="K314" s="4">
        <v>0</v>
      </c>
      <c r="L314" t="str">
        <f>IF(pg_1[[#This Row],[Salary]]&gt;=90000, "Met minimum", "Not met minimum")</f>
        <v>Met minimum</v>
      </c>
    </row>
    <row r="315" spans="1:12" x14ac:dyDescent="0.25">
      <c r="A315" s="8">
        <v>314</v>
      </c>
      <c r="B315" s="9" t="s">
        <v>369</v>
      </c>
      <c r="C315" s="9" t="s">
        <v>12</v>
      </c>
      <c r="D315" s="9" t="s">
        <v>31</v>
      </c>
      <c r="E315" t="s">
        <v>990</v>
      </c>
      <c r="F315" s="11">
        <v>31170</v>
      </c>
      <c r="G315" s="10">
        <v>716.91</v>
      </c>
      <c r="H315" s="10">
        <v>31886.91</v>
      </c>
      <c r="I315" s="9" t="s">
        <v>17</v>
      </c>
      <c r="J315" s="9" t="s">
        <v>28</v>
      </c>
      <c r="K315" s="4">
        <v>2.3E-2</v>
      </c>
      <c r="L315" t="str">
        <f>IF(pg_1[[#This Row],[Salary]]&gt;=90000, "Met minimum", "Not met minimum")</f>
        <v>Not met minimum</v>
      </c>
    </row>
    <row r="316" spans="1:12" x14ac:dyDescent="0.25">
      <c r="A316" s="8">
        <v>315</v>
      </c>
      <c r="B316" s="9" t="s">
        <v>370</v>
      </c>
      <c r="C316" s="9" t="s">
        <v>12</v>
      </c>
      <c r="D316" s="9" t="s">
        <v>34</v>
      </c>
      <c r="E316" t="s">
        <v>991</v>
      </c>
      <c r="F316" s="11">
        <v>116240</v>
      </c>
      <c r="G316" s="10">
        <v>2789.76</v>
      </c>
      <c r="H316" s="10">
        <v>119029.75999999999</v>
      </c>
      <c r="I316" s="9" t="s">
        <v>21</v>
      </c>
      <c r="J316" s="9" t="s">
        <v>28</v>
      </c>
      <c r="K316" s="4">
        <v>2.4E-2</v>
      </c>
      <c r="L316" t="str">
        <f>IF(pg_1[[#This Row],[Salary]]&gt;=90000, "Met minimum", "Not met minimum")</f>
        <v>Met minimum</v>
      </c>
    </row>
    <row r="317" spans="1:12" x14ac:dyDescent="0.25">
      <c r="A317" s="8">
        <v>316</v>
      </c>
      <c r="B317" s="9" t="s">
        <v>371</v>
      </c>
      <c r="C317" s="9" t="s">
        <v>7</v>
      </c>
      <c r="D317" s="9" t="s">
        <v>37</v>
      </c>
      <c r="E317" t="s">
        <v>991</v>
      </c>
      <c r="F317" s="11">
        <v>115190</v>
      </c>
      <c r="G317" s="10">
        <v>575.95000000000005</v>
      </c>
      <c r="H317" s="10">
        <v>115765.95</v>
      </c>
      <c r="I317" s="9" t="s">
        <v>21</v>
      </c>
      <c r="J317" s="9" t="s">
        <v>51</v>
      </c>
      <c r="K317" s="4">
        <v>5.0000000000000001E-3</v>
      </c>
      <c r="L317" t="str">
        <f>IF(pg_1[[#This Row],[Salary]]&gt;=90000, "Met minimum", "Not met minimum")</f>
        <v>Met minimum</v>
      </c>
    </row>
    <row r="318" spans="1:12" x14ac:dyDescent="0.25">
      <c r="A318" s="8">
        <v>317</v>
      </c>
      <c r="B318" s="9" t="s">
        <v>372</v>
      </c>
      <c r="C318" s="9" t="s">
        <v>7</v>
      </c>
      <c r="D318" s="9" t="s">
        <v>42</v>
      </c>
      <c r="E318" t="s">
        <v>992</v>
      </c>
      <c r="F318" s="11">
        <v>79570</v>
      </c>
      <c r="G318" s="10">
        <v>3182.8</v>
      </c>
      <c r="H318" s="10">
        <v>82752.800000000003</v>
      </c>
      <c r="I318" s="9" t="s">
        <v>21</v>
      </c>
      <c r="J318" s="9" t="s">
        <v>28</v>
      </c>
      <c r="K318" s="4">
        <v>0.04</v>
      </c>
      <c r="L318" t="str">
        <f>IF(pg_1[[#This Row],[Salary]]&gt;=90000, "Met minimum", "Not met minimum")</f>
        <v>Not met minimum</v>
      </c>
    </row>
    <row r="319" spans="1:12" x14ac:dyDescent="0.25">
      <c r="A319" s="8">
        <v>318</v>
      </c>
      <c r="B319" s="9" t="s">
        <v>373</v>
      </c>
      <c r="C319" s="9" t="s">
        <v>12</v>
      </c>
      <c r="D319" s="9" t="s">
        <v>42</v>
      </c>
      <c r="E319" t="s">
        <v>994</v>
      </c>
      <c r="F319" s="11">
        <v>95680</v>
      </c>
      <c r="G319" s="10">
        <v>6027.84</v>
      </c>
      <c r="H319" s="10">
        <v>101707.84</v>
      </c>
      <c r="I319" s="9" t="s">
        <v>21</v>
      </c>
      <c r="J319" s="9" t="s">
        <v>10</v>
      </c>
      <c r="K319" s="4">
        <v>6.3E-2</v>
      </c>
      <c r="L319" t="str">
        <f>IF(pg_1[[#This Row],[Salary]]&gt;=90000, "Met minimum", "Not met minimum")</f>
        <v>Met minimum</v>
      </c>
    </row>
    <row r="320" spans="1:12" x14ac:dyDescent="0.25">
      <c r="A320" s="8">
        <v>319</v>
      </c>
      <c r="B320" s="9" t="s">
        <v>374</v>
      </c>
      <c r="C320" s="9" t="s">
        <v>970</v>
      </c>
      <c r="D320" s="9" t="s">
        <v>53</v>
      </c>
      <c r="E320" t="s">
        <v>988</v>
      </c>
      <c r="F320" s="11">
        <v>107110</v>
      </c>
      <c r="G320" s="10">
        <v>6212.38</v>
      </c>
      <c r="H320" s="10">
        <v>113322.38</v>
      </c>
      <c r="I320" s="9" t="s">
        <v>17</v>
      </c>
      <c r="J320" s="9" t="s">
        <v>14</v>
      </c>
      <c r="K320" s="4">
        <v>5.8000000000000003E-2</v>
      </c>
      <c r="L320" t="str">
        <f>IF(pg_1[[#This Row],[Salary]]&gt;=90000, "Met minimum", "Not met minimum")</f>
        <v>Met minimum</v>
      </c>
    </row>
    <row r="321" spans="1:12" x14ac:dyDescent="0.25">
      <c r="A321" s="8">
        <v>320</v>
      </c>
      <c r="B321" s="9" t="s">
        <v>375</v>
      </c>
      <c r="C321" s="9" t="s">
        <v>7</v>
      </c>
      <c r="D321" s="9" t="s">
        <v>8</v>
      </c>
      <c r="E321" t="s">
        <v>986</v>
      </c>
      <c r="F321" s="11">
        <v>66100</v>
      </c>
      <c r="G321" s="10">
        <v>793.2</v>
      </c>
      <c r="H321" s="10">
        <v>66893.2</v>
      </c>
      <c r="I321" s="9" t="s">
        <v>21</v>
      </c>
      <c r="J321" s="9" t="s">
        <v>24</v>
      </c>
      <c r="K321" s="4">
        <v>1.2E-2</v>
      </c>
      <c r="L321" t="str">
        <f>IF(pg_1[[#This Row],[Salary]]&gt;=90000, "Met minimum", "Not met minimum")</f>
        <v>Not met minimum</v>
      </c>
    </row>
    <row r="322" spans="1:12" x14ac:dyDescent="0.25">
      <c r="A322" s="8">
        <v>321</v>
      </c>
      <c r="B322" s="9" t="s">
        <v>376</v>
      </c>
      <c r="C322" s="9" t="s">
        <v>7</v>
      </c>
      <c r="D322" s="9" t="s">
        <v>20</v>
      </c>
      <c r="E322" t="s">
        <v>990</v>
      </c>
      <c r="F322" s="11">
        <v>39960</v>
      </c>
      <c r="G322" s="10">
        <v>839.16000000000008</v>
      </c>
      <c r="H322" s="10">
        <v>40799.160000000003</v>
      </c>
      <c r="I322" s="9" t="s">
        <v>17</v>
      </c>
      <c r="J322" s="9" t="s">
        <v>28</v>
      </c>
      <c r="K322" s="4">
        <v>2.1000000000000001E-2</v>
      </c>
      <c r="L322" t="str">
        <f>IF(pg_1[[#This Row],[Salary]]&gt;=90000, "Met minimum", "Not met minimum")</f>
        <v>Not met minimum</v>
      </c>
    </row>
    <row r="323" spans="1:12" x14ac:dyDescent="0.25">
      <c r="A323" s="8">
        <v>322</v>
      </c>
      <c r="B323" s="9" t="s">
        <v>378</v>
      </c>
      <c r="C323" s="9" t="s">
        <v>12</v>
      </c>
      <c r="D323" s="9" t="s">
        <v>34</v>
      </c>
      <c r="E323" t="s">
        <v>993</v>
      </c>
      <c r="F323" s="11">
        <v>29890</v>
      </c>
      <c r="G323" s="10">
        <v>1494.5</v>
      </c>
      <c r="H323" s="10">
        <v>31384.5</v>
      </c>
      <c r="I323" s="9" t="s">
        <v>21</v>
      </c>
      <c r="J323" s="9" t="s">
        <v>14</v>
      </c>
      <c r="K323" s="4">
        <v>0.05</v>
      </c>
      <c r="L323" t="str">
        <f>IF(pg_1[[#This Row],[Salary]]&gt;=90000, "Met minimum", "Not met minimum")</f>
        <v>Not met minimum</v>
      </c>
    </row>
    <row r="324" spans="1:12" x14ac:dyDescent="0.25">
      <c r="A324" s="8">
        <v>323</v>
      </c>
      <c r="B324" s="9" t="s">
        <v>379</v>
      </c>
      <c r="C324" s="9" t="s">
        <v>7</v>
      </c>
      <c r="D324" s="9" t="s">
        <v>67</v>
      </c>
      <c r="E324" t="s">
        <v>989</v>
      </c>
      <c r="F324" s="11">
        <v>48170</v>
      </c>
      <c r="G324" s="10">
        <v>2793.86</v>
      </c>
      <c r="H324" s="10">
        <v>50963.86</v>
      </c>
      <c r="I324" s="9" t="s">
        <v>17</v>
      </c>
      <c r="J324" s="9" t="s">
        <v>14</v>
      </c>
      <c r="K324" s="4">
        <v>5.8000000000000003E-2</v>
      </c>
      <c r="L324" t="str">
        <f>IF(pg_1[[#This Row],[Salary]]&gt;=90000, "Met minimum", "Not met minimum")</f>
        <v>Not met minimum</v>
      </c>
    </row>
    <row r="325" spans="1:12" x14ac:dyDescent="0.25">
      <c r="A325" s="8">
        <v>324</v>
      </c>
      <c r="B325" s="9" t="s">
        <v>380</v>
      </c>
      <c r="C325" s="9" t="s">
        <v>12</v>
      </c>
      <c r="D325" s="9" t="s">
        <v>31</v>
      </c>
      <c r="E325" t="s">
        <v>994</v>
      </c>
      <c r="F325" s="11">
        <v>99200</v>
      </c>
      <c r="G325" s="10">
        <v>5257.5999999999995</v>
      </c>
      <c r="H325" s="10">
        <v>104457.60000000001</v>
      </c>
      <c r="I325" s="9" t="s">
        <v>9</v>
      </c>
      <c r="J325" s="9" t="s">
        <v>14</v>
      </c>
      <c r="K325" s="4">
        <v>5.2999999999999999E-2</v>
      </c>
      <c r="L325" t="str">
        <f>IF(pg_1[[#This Row],[Salary]]&gt;=90000, "Met minimum", "Not met minimum")</f>
        <v>Met minimum</v>
      </c>
    </row>
    <row r="326" spans="1:12" x14ac:dyDescent="0.25">
      <c r="A326" s="8">
        <v>325</v>
      </c>
      <c r="B326" s="9" t="s">
        <v>381</v>
      </c>
      <c r="C326" s="9" t="s">
        <v>7</v>
      </c>
      <c r="D326" s="9" t="s">
        <v>20</v>
      </c>
      <c r="E326" t="s">
        <v>992</v>
      </c>
      <c r="F326" s="11">
        <v>72840</v>
      </c>
      <c r="G326" s="10">
        <v>1529.64</v>
      </c>
      <c r="H326" s="10">
        <v>74369.64</v>
      </c>
      <c r="I326" s="9" t="s">
        <v>17</v>
      </c>
      <c r="J326" s="9" t="s">
        <v>28</v>
      </c>
      <c r="K326" s="4">
        <v>2.1000000000000001E-2</v>
      </c>
      <c r="L326" t="str">
        <f>IF(pg_1[[#This Row],[Salary]]&gt;=90000, "Met minimum", "Not met minimum")</f>
        <v>Not met minimum</v>
      </c>
    </row>
    <row r="327" spans="1:12" x14ac:dyDescent="0.25">
      <c r="A327" s="8">
        <v>326</v>
      </c>
      <c r="B327" s="9" t="s">
        <v>382</v>
      </c>
      <c r="C327" s="9" t="s">
        <v>7</v>
      </c>
      <c r="D327" s="9" t="s">
        <v>13</v>
      </c>
      <c r="E327" t="s">
        <v>986</v>
      </c>
      <c r="F327" s="11">
        <v>68970</v>
      </c>
      <c r="G327" s="10">
        <v>2413.9500000000003</v>
      </c>
      <c r="H327" s="10">
        <v>71383.95</v>
      </c>
      <c r="I327" s="9" t="s">
        <v>21</v>
      </c>
      <c r="J327" s="9" t="s">
        <v>28</v>
      </c>
      <c r="K327" s="4">
        <v>3.5000000000000003E-2</v>
      </c>
      <c r="L327" t="str">
        <f>IF(pg_1[[#This Row],[Salary]]&gt;=90000, "Met minimum", "Not met minimum")</f>
        <v>Not met minimum</v>
      </c>
    </row>
    <row r="328" spans="1:12" x14ac:dyDescent="0.25">
      <c r="A328" s="8">
        <v>327</v>
      </c>
      <c r="B328" s="9" t="s">
        <v>383</v>
      </c>
      <c r="C328" s="9" t="s">
        <v>7</v>
      </c>
      <c r="D328" s="9" t="s">
        <v>67</v>
      </c>
      <c r="E328" t="s">
        <v>985</v>
      </c>
      <c r="F328" s="11">
        <v>89090</v>
      </c>
      <c r="G328" s="10">
        <v>5167.22</v>
      </c>
      <c r="H328" s="10">
        <v>94257.22</v>
      </c>
      <c r="I328" s="9" t="s">
        <v>21</v>
      </c>
      <c r="J328" s="9" t="s">
        <v>14</v>
      </c>
      <c r="K328" s="4">
        <v>5.8000000000000003E-2</v>
      </c>
      <c r="L328" t="str">
        <f>IF(pg_1[[#This Row],[Salary]]&gt;=90000, "Met minimum", "Not met minimum")</f>
        <v>Not met minimum</v>
      </c>
    </row>
    <row r="329" spans="1:12" x14ac:dyDescent="0.25">
      <c r="A329" s="8">
        <v>328</v>
      </c>
      <c r="B329" s="9" t="s">
        <v>384</v>
      </c>
      <c r="C329" s="9" t="s">
        <v>7</v>
      </c>
      <c r="D329" s="9" t="s">
        <v>34</v>
      </c>
      <c r="E329" t="s">
        <v>991</v>
      </c>
      <c r="F329" s="11">
        <v>118450</v>
      </c>
      <c r="G329" s="10">
        <v>8646.85</v>
      </c>
      <c r="H329" s="10">
        <v>127096.85</v>
      </c>
      <c r="I329" s="9" t="s">
        <v>21</v>
      </c>
      <c r="J329" s="9" t="s">
        <v>10</v>
      </c>
      <c r="K329" s="4">
        <v>7.2999999999999995E-2</v>
      </c>
      <c r="L329" t="str">
        <f>IF(pg_1[[#This Row],[Salary]]&gt;=90000, "Met minimum", "Not met minimum")</f>
        <v>Met minimum</v>
      </c>
    </row>
    <row r="330" spans="1:12" x14ac:dyDescent="0.25">
      <c r="A330" s="8">
        <v>329</v>
      </c>
      <c r="B330" s="9" t="s">
        <v>385</v>
      </c>
      <c r="C330" s="9" t="s">
        <v>7</v>
      </c>
      <c r="D330" s="9" t="s">
        <v>37</v>
      </c>
      <c r="E330" t="s">
        <v>985</v>
      </c>
      <c r="F330" s="11">
        <v>80360</v>
      </c>
      <c r="G330" s="10">
        <v>2571.52</v>
      </c>
      <c r="H330" s="10">
        <v>82931.520000000004</v>
      </c>
      <c r="I330" s="9" t="s">
        <v>21</v>
      </c>
      <c r="J330" s="9" t="s">
        <v>28</v>
      </c>
      <c r="K330" s="4">
        <v>3.2000000000000001E-2</v>
      </c>
      <c r="L330" t="str">
        <f>IF(pg_1[[#This Row],[Salary]]&gt;=90000, "Met minimum", "Not met minimum")</f>
        <v>Not met minimum</v>
      </c>
    </row>
    <row r="331" spans="1:12" x14ac:dyDescent="0.25">
      <c r="A331" s="8">
        <v>330</v>
      </c>
      <c r="B331" s="9" t="s">
        <v>386</v>
      </c>
      <c r="C331" s="9" t="s">
        <v>12</v>
      </c>
      <c r="D331" s="9" t="s">
        <v>67</v>
      </c>
      <c r="E331" t="s">
        <v>988</v>
      </c>
      <c r="F331" s="11">
        <v>104770</v>
      </c>
      <c r="G331" s="10">
        <v>3666.9500000000003</v>
      </c>
      <c r="H331" s="10">
        <v>108436.95</v>
      </c>
      <c r="I331" s="9" t="s">
        <v>17</v>
      </c>
      <c r="J331" s="9" t="s">
        <v>28</v>
      </c>
      <c r="K331" s="4">
        <v>3.5000000000000003E-2</v>
      </c>
      <c r="L331" t="str">
        <f>IF(pg_1[[#This Row],[Salary]]&gt;=90000, "Met minimum", "Not met minimum")</f>
        <v>Met minimum</v>
      </c>
    </row>
    <row r="332" spans="1:12" x14ac:dyDescent="0.25">
      <c r="A332" s="8">
        <v>331</v>
      </c>
      <c r="B332" s="9" t="s">
        <v>387</v>
      </c>
      <c r="C332" s="9" t="s">
        <v>12</v>
      </c>
      <c r="D332" s="9" t="s">
        <v>53</v>
      </c>
      <c r="E332" t="s">
        <v>992</v>
      </c>
      <c r="F332" s="11">
        <v>70440</v>
      </c>
      <c r="G332" s="10">
        <v>5001.24</v>
      </c>
      <c r="H332" s="10">
        <v>75441.240000000005</v>
      </c>
      <c r="I332" s="9" t="s">
        <v>17</v>
      </c>
      <c r="J332" s="9" t="s">
        <v>10</v>
      </c>
      <c r="K332" s="4">
        <v>7.0999999999999994E-2</v>
      </c>
      <c r="L332" t="str">
        <f>IF(pg_1[[#This Row],[Salary]]&gt;=90000, "Met minimum", "Not met minimum")</f>
        <v>Not met minimum</v>
      </c>
    </row>
    <row r="333" spans="1:12" x14ac:dyDescent="0.25">
      <c r="A333" s="8">
        <v>332</v>
      </c>
      <c r="B333" s="9" t="s">
        <v>388</v>
      </c>
      <c r="C333" s="9" t="s">
        <v>7</v>
      </c>
      <c r="D333" s="9" t="s">
        <v>23</v>
      </c>
      <c r="E333" t="s">
        <v>987</v>
      </c>
      <c r="F333" s="11">
        <v>56900</v>
      </c>
      <c r="G333" s="10">
        <v>1593.2</v>
      </c>
      <c r="H333" s="10">
        <v>58493.2</v>
      </c>
      <c r="I333" s="9" t="s">
        <v>17</v>
      </c>
      <c r="J333" s="9" t="s">
        <v>28</v>
      </c>
      <c r="K333" s="4">
        <v>2.8000000000000001E-2</v>
      </c>
      <c r="L333" t="str">
        <f>IF(pg_1[[#This Row],[Salary]]&gt;=90000, "Met minimum", "Not met minimum")</f>
        <v>Not met minimum</v>
      </c>
    </row>
    <row r="334" spans="1:12" x14ac:dyDescent="0.25">
      <c r="A334" s="8">
        <v>333</v>
      </c>
      <c r="B334" s="9" t="s">
        <v>390</v>
      </c>
      <c r="C334" s="9" t="s">
        <v>970</v>
      </c>
      <c r="D334" s="9" t="s">
        <v>31</v>
      </c>
      <c r="E334" t="s">
        <v>992</v>
      </c>
      <c r="F334" s="11">
        <v>72450</v>
      </c>
      <c r="G334" s="10">
        <v>0</v>
      </c>
      <c r="H334" s="10">
        <v>72450</v>
      </c>
      <c r="I334" s="9" t="s">
        <v>17</v>
      </c>
      <c r="J334" s="9" t="s">
        <v>18</v>
      </c>
      <c r="K334" s="4">
        <v>0</v>
      </c>
      <c r="L334" t="str">
        <f>IF(pg_1[[#This Row],[Salary]]&gt;=90000, "Met minimum", "Not met minimum")</f>
        <v>Not met minimum</v>
      </c>
    </row>
    <row r="335" spans="1:12" x14ac:dyDescent="0.25">
      <c r="A335" s="8">
        <v>334</v>
      </c>
      <c r="B335" s="9" t="s">
        <v>391</v>
      </c>
      <c r="C335" s="9" t="s">
        <v>12</v>
      </c>
      <c r="D335" s="9" t="s">
        <v>34</v>
      </c>
      <c r="E335" t="s">
        <v>990</v>
      </c>
      <c r="F335" s="11">
        <v>34500</v>
      </c>
      <c r="G335" s="10">
        <v>0</v>
      </c>
      <c r="H335" s="10">
        <v>34500</v>
      </c>
      <c r="I335" s="9" t="s">
        <v>17</v>
      </c>
      <c r="J335" s="9" t="s">
        <v>18</v>
      </c>
      <c r="K335" s="4">
        <v>0</v>
      </c>
      <c r="L335" t="str">
        <f>IF(pg_1[[#This Row],[Salary]]&gt;=90000, "Met minimum", "Not met minimum")</f>
        <v>Not met minimum</v>
      </c>
    </row>
    <row r="336" spans="1:12" x14ac:dyDescent="0.25">
      <c r="A336" s="8">
        <v>335</v>
      </c>
      <c r="B336" s="9" t="s">
        <v>392</v>
      </c>
      <c r="C336" s="9" t="s">
        <v>970</v>
      </c>
      <c r="D336" s="9" t="s">
        <v>13</v>
      </c>
      <c r="E336" t="s">
        <v>991</v>
      </c>
      <c r="F336" s="11">
        <v>118800</v>
      </c>
      <c r="G336" s="10">
        <v>7246.8</v>
      </c>
      <c r="H336" s="10">
        <v>126046.8</v>
      </c>
      <c r="I336" s="9" t="s">
        <v>21</v>
      </c>
      <c r="J336" s="9" t="s">
        <v>10</v>
      </c>
      <c r="K336" s="4">
        <v>6.0999999999999999E-2</v>
      </c>
      <c r="L336" t="str">
        <f>IF(pg_1[[#This Row],[Salary]]&gt;=90000, "Met minimum", "Not met minimum")</f>
        <v>Met minimum</v>
      </c>
    </row>
    <row r="337" spans="1:12" x14ac:dyDescent="0.25">
      <c r="A337" s="8">
        <v>336</v>
      </c>
      <c r="B337" s="9" t="s">
        <v>394</v>
      </c>
      <c r="C337" s="9" t="s">
        <v>12</v>
      </c>
      <c r="D337" s="9" t="s">
        <v>50</v>
      </c>
      <c r="E337" t="s">
        <v>991</v>
      </c>
      <c r="F337" s="11">
        <v>115080</v>
      </c>
      <c r="G337" s="10">
        <v>9666.7200000000012</v>
      </c>
      <c r="H337" s="10">
        <v>124746.72</v>
      </c>
      <c r="I337" s="9" t="s">
        <v>17</v>
      </c>
      <c r="J337" s="9" t="s">
        <v>10</v>
      </c>
      <c r="K337" s="4">
        <v>8.4000000000000005E-2</v>
      </c>
      <c r="L337" t="str">
        <f>IF(pg_1[[#This Row],[Salary]]&gt;=90000, "Met minimum", "Not met minimum")</f>
        <v>Met minimum</v>
      </c>
    </row>
    <row r="338" spans="1:12" x14ac:dyDescent="0.25">
      <c r="A338" s="8">
        <v>337</v>
      </c>
      <c r="B338" s="9" t="s">
        <v>395</v>
      </c>
      <c r="C338" s="9" t="s">
        <v>12</v>
      </c>
      <c r="D338" s="9" t="s">
        <v>8</v>
      </c>
      <c r="E338" t="s">
        <v>990</v>
      </c>
      <c r="F338" s="11">
        <v>39540</v>
      </c>
      <c r="G338" s="10">
        <v>830.34</v>
      </c>
      <c r="H338" s="10">
        <v>40370.339999999997</v>
      </c>
      <c r="I338" s="9" t="s">
        <v>9</v>
      </c>
      <c r="J338" s="9" t="s">
        <v>28</v>
      </c>
      <c r="K338" s="4">
        <v>2.1000000000000001E-2</v>
      </c>
      <c r="L338" t="str">
        <f>IF(pg_1[[#This Row],[Salary]]&gt;=90000, "Met minimum", "Not met minimum")</f>
        <v>Not met minimum</v>
      </c>
    </row>
    <row r="339" spans="1:12" x14ac:dyDescent="0.25">
      <c r="A339" s="8">
        <v>338</v>
      </c>
      <c r="B339" s="9" t="s">
        <v>397</v>
      </c>
      <c r="C339" s="9" t="s">
        <v>7</v>
      </c>
      <c r="D339" s="9" t="s">
        <v>53</v>
      </c>
      <c r="E339" t="s">
        <v>988</v>
      </c>
      <c r="F339" s="11">
        <v>106460</v>
      </c>
      <c r="G339" s="10">
        <v>1277.52</v>
      </c>
      <c r="H339" s="10">
        <v>107737.52</v>
      </c>
      <c r="I339" s="9" t="s">
        <v>9</v>
      </c>
      <c r="J339" s="9" t="s">
        <v>24</v>
      </c>
      <c r="K339" s="4">
        <v>1.2E-2</v>
      </c>
      <c r="L339" t="str">
        <f>IF(pg_1[[#This Row],[Salary]]&gt;=90000, "Met minimum", "Not met minimum")</f>
        <v>Met minimum</v>
      </c>
    </row>
    <row r="340" spans="1:12" x14ac:dyDescent="0.25">
      <c r="A340" s="8">
        <v>339</v>
      </c>
      <c r="B340" s="9" t="s">
        <v>398</v>
      </c>
      <c r="C340" s="9" t="s">
        <v>7</v>
      </c>
      <c r="D340" s="9" t="s">
        <v>23</v>
      </c>
      <c r="E340" t="s">
        <v>994</v>
      </c>
      <c r="F340" s="11">
        <v>94530</v>
      </c>
      <c r="G340" s="10">
        <v>945.30000000000007</v>
      </c>
      <c r="H340" s="10">
        <v>95475.3</v>
      </c>
      <c r="I340" s="9" t="s">
        <v>17</v>
      </c>
      <c r="J340" s="9" t="s">
        <v>24</v>
      </c>
      <c r="K340" s="4">
        <v>0.01</v>
      </c>
      <c r="L340" t="str">
        <f>IF(pg_1[[#This Row],[Salary]]&gt;=90000, "Met minimum", "Not met minimum")</f>
        <v>Met minimum</v>
      </c>
    </row>
    <row r="341" spans="1:12" x14ac:dyDescent="0.25">
      <c r="A341" s="8">
        <v>340</v>
      </c>
      <c r="B341" s="9" t="s">
        <v>399</v>
      </c>
      <c r="C341" s="9" t="s">
        <v>12</v>
      </c>
      <c r="D341" s="9" t="s">
        <v>34</v>
      </c>
      <c r="E341" t="s">
        <v>992</v>
      </c>
      <c r="F341" s="11">
        <v>71590</v>
      </c>
      <c r="G341" s="10">
        <v>1288.6199999999999</v>
      </c>
      <c r="H341" s="10">
        <v>72878.62</v>
      </c>
      <c r="I341" s="9" t="s">
        <v>9</v>
      </c>
      <c r="J341" s="9" t="s">
        <v>24</v>
      </c>
      <c r="K341" s="4">
        <v>1.7999999999999999E-2</v>
      </c>
      <c r="L341" t="str">
        <f>IF(pg_1[[#This Row],[Salary]]&gt;=90000, "Met minimum", "Not met minimum")</f>
        <v>Not met minimum</v>
      </c>
    </row>
    <row r="342" spans="1:12" x14ac:dyDescent="0.25">
      <c r="A342" s="8">
        <v>341</v>
      </c>
      <c r="B342" s="9" t="s">
        <v>400</v>
      </c>
      <c r="C342" s="9" t="s">
        <v>12</v>
      </c>
      <c r="D342" s="9" t="s">
        <v>67</v>
      </c>
      <c r="E342" t="s">
        <v>988</v>
      </c>
      <c r="F342" s="11">
        <v>104900</v>
      </c>
      <c r="G342" s="10">
        <v>6084.2000000000007</v>
      </c>
      <c r="H342" s="10">
        <v>110984.2</v>
      </c>
      <c r="I342" s="9" t="s">
        <v>17</v>
      </c>
      <c r="J342" s="9" t="s">
        <v>14</v>
      </c>
      <c r="K342" s="4">
        <v>5.8000000000000003E-2</v>
      </c>
      <c r="L342" t="str">
        <f>IF(pg_1[[#This Row],[Salary]]&gt;=90000, "Met minimum", "Not met minimum")</f>
        <v>Met minimum</v>
      </c>
    </row>
    <row r="343" spans="1:12" x14ac:dyDescent="0.25">
      <c r="A343" s="8">
        <v>342</v>
      </c>
      <c r="B343" s="9" t="s">
        <v>401</v>
      </c>
      <c r="C343" s="9" t="s">
        <v>7</v>
      </c>
      <c r="D343" s="9" t="s">
        <v>13</v>
      </c>
      <c r="E343" t="s">
        <v>985</v>
      </c>
      <c r="F343" s="11">
        <v>81790</v>
      </c>
      <c r="G343" s="10">
        <v>0</v>
      </c>
      <c r="H343" s="10">
        <v>81790</v>
      </c>
      <c r="I343" s="9" t="s">
        <v>9</v>
      </c>
      <c r="J343" s="9" t="s">
        <v>18</v>
      </c>
      <c r="K343" s="4">
        <v>0</v>
      </c>
      <c r="L343" t="str">
        <f>IF(pg_1[[#This Row],[Salary]]&gt;=90000, "Met minimum", "Not met minimum")</f>
        <v>Not met minimum</v>
      </c>
    </row>
    <row r="344" spans="1:12" x14ac:dyDescent="0.25">
      <c r="A344" s="8">
        <v>343</v>
      </c>
      <c r="B344" s="9" t="s">
        <v>402</v>
      </c>
      <c r="C344" s="9" t="s">
        <v>12</v>
      </c>
      <c r="D344" s="9" t="s">
        <v>23</v>
      </c>
      <c r="E344" t="s">
        <v>990</v>
      </c>
      <c r="F344" s="11">
        <v>33050</v>
      </c>
      <c r="G344" s="10">
        <v>925.4</v>
      </c>
      <c r="H344" s="10">
        <v>33975.4</v>
      </c>
      <c r="I344" s="9" t="s">
        <v>17</v>
      </c>
      <c r="J344" s="9" t="s">
        <v>28</v>
      </c>
      <c r="K344" s="4">
        <v>2.8000000000000001E-2</v>
      </c>
      <c r="L344" t="str">
        <f>IF(pg_1[[#This Row],[Salary]]&gt;=90000, "Met minimum", "Not met minimum")</f>
        <v>Not met minimum</v>
      </c>
    </row>
    <row r="345" spans="1:12" x14ac:dyDescent="0.25">
      <c r="A345" s="8">
        <v>344</v>
      </c>
      <c r="B345" s="9" t="s">
        <v>403</v>
      </c>
      <c r="C345" s="9" t="s">
        <v>12</v>
      </c>
      <c r="D345" s="9" t="s">
        <v>37</v>
      </c>
      <c r="E345" t="s">
        <v>994</v>
      </c>
      <c r="F345" s="11">
        <v>96920</v>
      </c>
      <c r="G345" s="10">
        <v>484.6</v>
      </c>
      <c r="H345" s="10">
        <v>97404.6</v>
      </c>
      <c r="I345" s="9" t="s">
        <v>17</v>
      </c>
      <c r="J345" s="9" t="s">
        <v>51</v>
      </c>
      <c r="K345" s="4">
        <v>5.0000000000000001E-3</v>
      </c>
      <c r="L345" t="str">
        <f>IF(pg_1[[#This Row],[Salary]]&gt;=90000, "Met minimum", "Not met minimum")</f>
        <v>Met minimum</v>
      </c>
    </row>
    <row r="346" spans="1:12" x14ac:dyDescent="0.25">
      <c r="A346" s="8">
        <v>345</v>
      </c>
      <c r="B346" s="9" t="s">
        <v>405</v>
      </c>
      <c r="C346" s="9" t="s">
        <v>12</v>
      </c>
      <c r="D346" s="9" t="s">
        <v>53</v>
      </c>
      <c r="E346" t="s">
        <v>994</v>
      </c>
      <c r="F346" s="11">
        <v>98400</v>
      </c>
      <c r="G346" s="10">
        <v>1968</v>
      </c>
      <c r="H346" s="10">
        <v>100368</v>
      </c>
      <c r="I346" s="9" t="s">
        <v>9</v>
      </c>
      <c r="J346" s="9" t="s">
        <v>28</v>
      </c>
      <c r="K346" s="4">
        <v>0.02</v>
      </c>
      <c r="L346" t="str">
        <f>IF(pg_1[[#This Row],[Salary]]&gt;=90000, "Met minimum", "Not met minimum")</f>
        <v>Met minimum</v>
      </c>
    </row>
    <row r="347" spans="1:12" x14ac:dyDescent="0.25">
      <c r="A347" s="8">
        <v>346</v>
      </c>
      <c r="B347" s="9" t="s">
        <v>406</v>
      </c>
      <c r="C347" s="9" t="s">
        <v>12</v>
      </c>
      <c r="D347" s="9" t="s">
        <v>27</v>
      </c>
      <c r="E347" t="s">
        <v>987</v>
      </c>
      <c r="F347" s="11">
        <v>50020</v>
      </c>
      <c r="G347" s="10">
        <v>1350.54</v>
      </c>
      <c r="H347" s="10">
        <v>51370.54</v>
      </c>
      <c r="I347" s="9" t="s">
        <v>17</v>
      </c>
      <c r="J347" s="9" t="s">
        <v>28</v>
      </c>
      <c r="K347" s="4">
        <v>2.7E-2</v>
      </c>
      <c r="L347" t="str">
        <f>IF(pg_1[[#This Row],[Salary]]&gt;=90000, "Met minimum", "Not met minimum")</f>
        <v>Not met minimum</v>
      </c>
    </row>
    <row r="348" spans="1:12" x14ac:dyDescent="0.25">
      <c r="A348" s="8">
        <v>347</v>
      </c>
      <c r="B348" s="9" t="s">
        <v>407</v>
      </c>
      <c r="C348" s="9" t="s">
        <v>7</v>
      </c>
      <c r="D348" s="9" t="s">
        <v>42</v>
      </c>
      <c r="E348" t="s">
        <v>992</v>
      </c>
      <c r="F348" s="11">
        <v>71210</v>
      </c>
      <c r="G348" s="10">
        <v>2848.4</v>
      </c>
      <c r="H348" s="10">
        <v>74058.399999999994</v>
      </c>
      <c r="I348" s="9" t="s">
        <v>21</v>
      </c>
      <c r="J348" s="9" t="s">
        <v>28</v>
      </c>
      <c r="K348" s="4">
        <v>0.04</v>
      </c>
      <c r="L348" t="str">
        <f>IF(pg_1[[#This Row],[Salary]]&gt;=90000, "Met minimum", "Not met minimum")</f>
        <v>Not met minimum</v>
      </c>
    </row>
    <row r="349" spans="1:12" x14ac:dyDescent="0.25">
      <c r="A349" s="8">
        <v>348</v>
      </c>
      <c r="B349" s="9" t="s">
        <v>408</v>
      </c>
      <c r="C349" s="9" t="s">
        <v>7</v>
      </c>
      <c r="D349" s="9" t="s">
        <v>13</v>
      </c>
      <c r="E349" t="s">
        <v>987</v>
      </c>
      <c r="F349" s="11">
        <v>53180</v>
      </c>
      <c r="G349" s="10">
        <v>1861.3000000000002</v>
      </c>
      <c r="H349" s="10">
        <v>55041.3</v>
      </c>
      <c r="I349" s="9" t="s">
        <v>21</v>
      </c>
      <c r="J349" s="9" t="s">
        <v>28</v>
      </c>
      <c r="K349" s="4">
        <v>3.5000000000000003E-2</v>
      </c>
      <c r="L349" t="str">
        <f>IF(pg_1[[#This Row],[Salary]]&gt;=90000, "Met minimum", "Not met minimum")</f>
        <v>Not met minimum</v>
      </c>
    </row>
    <row r="350" spans="1:12" x14ac:dyDescent="0.25">
      <c r="A350" s="8">
        <v>349</v>
      </c>
      <c r="B350" s="9" t="s">
        <v>409</v>
      </c>
      <c r="C350" s="9" t="s">
        <v>12</v>
      </c>
      <c r="D350" s="9" t="s">
        <v>27</v>
      </c>
      <c r="E350" t="s">
        <v>988</v>
      </c>
      <c r="F350" s="11">
        <v>107020</v>
      </c>
      <c r="G350" s="10">
        <v>2889.54</v>
      </c>
      <c r="H350" s="10">
        <v>109909.54</v>
      </c>
      <c r="I350" s="9" t="s">
        <v>21</v>
      </c>
      <c r="J350" s="9" t="s">
        <v>28</v>
      </c>
      <c r="K350" s="4">
        <v>2.7E-2</v>
      </c>
      <c r="L350" t="str">
        <f>IF(pg_1[[#This Row],[Salary]]&gt;=90000, "Met minimum", "Not met minimum")</f>
        <v>Met minimum</v>
      </c>
    </row>
    <row r="351" spans="1:12" x14ac:dyDescent="0.25">
      <c r="A351" s="8">
        <v>350</v>
      </c>
      <c r="B351" s="9" t="s">
        <v>410</v>
      </c>
      <c r="C351" s="9" t="s">
        <v>12</v>
      </c>
      <c r="D351" s="9" t="s">
        <v>50</v>
      </c>
      <c r="E351" t="s">
        <v>987</v>
      </c>
      <c r="F351" s="11">
        <v>58400</v>
      </c>
      <c r="G351" s="10">
        <v>1927.2</v>
      </c>
      <c r="H351" s="10">
        <v>60327.199999999997</v>
      </c>
      <c r="I351" s="9" t="s">
        <v>9</v>
      </c>
      <c r="J351" s="9" t="s">
        <v>28</v>
      </c>
      <c r="K351" s="4">
        <v>3.3000000000000002E-2</v>
      </c>
      <c r="L351" t="str">
        <f>IF(pg_1[[#This Row],[Salary]]&gt;=90000, "Met minimum", "Not met minimum")</f>
        <v>Not met minimum</v>
      </c>
    </row>
    <row r="352" spans="1:12" x14ac:dyDescent="0.25">
      <c r="A352" s="8">
        <v>351</v>
      </c>
      <c r="B352" s="9" t="s">
        <v>411</v>
      </c>
      <c r="C352" s="9" t="s">
        <v>12</v>
      </c>
      <c r="D352" s="9" t="s">
        <v>53</v>
      </c>
      <c r="E352" t="s">
        <v>989</v>
      </c>
      <c r="F352" s="11">
        <v>49000</v>
      </c>
      <c r="G352" s="10">
        <v>2842</v>
      </c>
      <c r="H352" s="10">
        <v>51842</v>
      </c>
      <c r="I352" s="9" t="s">
        <v>17</v>
      </c>
      <c r="J352" s="9" t="s">
        <v>14</v>
      </c>
      <c r="K352" s="4">
        <v>5.8000000000000003E-2</v>
      </c>
      <c r="L352" t="str">
        <f>IF(pg_1[[#This Row],[Salary]]&gt;=90000, "Met minimum", "Not met minimum")</f>
        <v>Not met minimum</v>
      </c>
    </row>
    <row r="353" spans="1:12" x14ac:dyDescent="0.25">
      <c r="A353" s="8">
        <v>352</v>
      </c>
      <c r="B353" s="9" t="s">
        <v>412</v>
      </c>
      <c r="C353" s="9" t="s">
        <v>12</v>
      </c>
      <c r="D353" s="9" t="s">
        <v>31</v>
      </c>
      <c r="E353" t="s">
        <v>985</v>
      </c>
      <c r="F353" s="11">
        <v>85530</v>
      </c>
      <c r="G353" s="10">
        <v>1967.19</v>
      </c>
      <c r="H353" s="10">
        <v>87497.19</v>
      </c>
      <c r="I353" s="9" t="s">
        <v>21</v>
      </c>
      <c r="J353" s="9" t="s">
        <v>28</v>
      </c>
      <c r="K353" s="4">
        <v>2.3E-2</v>
      </c>
      <c r="L353" t="str">
        <f>IF(pg_1[[#This Row],[Salary]]&gt;=90000, "Met minimum", "Not met minimum")</f>
        <v>Not met minimum</v>
      </c>
    </row>
    <row r="354" spans="1:12" x14ac:dyDescent="0.25">
      <c r="A354" s="8">
        <v>353</v>
      </c>
      <c r="B354" s="9" t="s">
        <v>413</v>
      </c>
      <c r="C354" s="9" t="s">
        <v>7</v>
      </c>
      <c r="D354" s="9" t="s">
        <v>42</v>
      </c>
      <c r="E354" t="s">
        <v>987</v>
      </c>
      <c r="F354" s="11">
        <v>53950</v>
      </c>
      <c r="G354" s="10">
        <v>1025.05</v>
      </c>
      <c r="H354" s="10">
        <v>54975.05</v>
      </c>
      <c r="I354" s="9" t="s">
        <v>9</v>
      </c>
      <c r="J354" s="9" t="s">
        <v>24</v>
      </c>
      <c r="K354" s="4">
        <v>1.9E-2</v>
      </c>
      <c r="L354" t="str">
        <f>IF(pg_1[[#This Row],[Salary]]&gt;=90000, "Met minimum", "Not met minimum")</f>
        <v>Not met minimum</v>
      </c>
    </row>
    <row r="355" spans="1:12" x14ac:dyDescent="0.25">
      <c r="A355" s="8">
        <v>354</v>
      </c>
      <c r="B355" s="9" t="s">
        <v>414</v>
      </c>
      <c r="C355" s="9" t="s">
        <v>7</v>
      </c>
      <c r="D355" s="9" t="s">
        <v>31</v>
      </c>
      <c r="E355" t="s">
        <v>989</v>
      </c>
      <c r="F355" s="11">
        <v>41140</v>
      </c>
      <c r="G355" s="10">
        <v>946.22</v>
      </c>
      <c r="H355" s="10">
        <v>42086.22</v>
      </c>
      <c r="I355" s="9" t="s">
        <v>9</v>
      </c>
      <c r="J355" s="9" t="s">
        <v>28</v>
      </c>
      <c r="K355" s="4">
        <v>2.3E-2</v>
      </c>
      <c r="L355" t="str">
        <f>IF(pg_1[[#This Row],[Salary]]&gt;=90000, "Met minimum", "Not met minimum")</f>
        <v>Not met minimum</v>
      </c>
    </row>
    <row r="356" spans="1:12" x14ac:dyDescent="0.25">
      <c r="A356" s="8">
        <v>355</v>
      </c>
      <c r="B356" s="9" t="s">
        <v>415</v>
      </c>
      <c r="C356" s="9" t="s">
        <v>7</v>
      </c>
      <c r="D356" s="9" t="s">
        <v>53</v>
      </c>
      <c r="E356" t="s">
        <v>989</v>
      </c>
      <c r="F356" s="11">
        <v>49920</v>
      </c>
      <c r="G356" s="10">
        <v>998.4</v>
      </c>
      <c r="H356" s="10">
        <v>50918.400000000001</v>
      </c>
      <c r="I356" s="9" t="s">
        <v>21</v>
      </c>
      <c r="J356" s="9" t="s">
        <v>28</v>
      </c>
      <c r="K356" s="4">
        <v>0.02</v>
      </c>
      <c r="L356" t="str">
        <f>IF(pg_1[[#This Row],[Salary]]&gt;=90000, "Met minimum", "Not met minimum")</f>
        <v>Not met minimum</v>
      </c>
    </row>
    <row r="357" spans="1:12" x14ac:dyDescent="0.25">
      <c r="A357" s="8">
        <v>356</v>
      </c>
      <c r="B357" s="9" t="s">
        <v>416</v>
      </c>
      <c r="C357" s="9" t="s">
        <v>12</v>
      </c>
      <c r="D357" s="9" t="s">
        <v>50</v>
      </c>
      <c r="E357" t="s">
        <v>990</v>
      </c>
      <c r="F357" s="11">
        <v>39700</v>
      </c>
      <c r="G357" s="10">
        <v>1310.1000000000001</v>
      </c>
      <c r="H357" s="10">
        <v>41010.1</v>
      </c>
      <c r="I357" s="9" t="s">
        <v>9</v>
      </c>
      <c r="J357" s="9" t="s">
        <v>28</v>
      </c>
      <c r="K357" s="4">
        <v>3.3000000000000002E-2</v>
      </c>
      <c r="L357" t="str">
        <f>IF(pg_1[[#This Row],[Salary]]&gt;=90000, "Met minimum", "Not met minimum")</f>
        <v>Not met minimum</v>
      </c>
    </row>
    <row r="358" spans="1:12" x14ac:dyDescent="0.25">
      <c r="A358" s="8">
        <v>357</v>
      </c>
      <c r="B358" s="9" t="s">
        <v>417</v>
      </c>
      <c r="C358" s="9" t="s">
        <v>7</v>
      </c>
      <c r="D358" s="9" t="s">
        <v>8</v>
      </c>
      <c r="E358" t="s">
        <v>987</v>
      </c>
      <c r="F358" s="11">
        <v>53540</v>
      </c>
      <c r="G358" s="10">
        <v>642.48</v>
      </c>
      <c r="H358" s="10">
        <v>54182.48</v>
      </c>
      <c r="I358" s="9" t="s">
        <v>17</v>
      </c>
      <c r="J358" s="9" t="s">
        <v>24</v>
      </c>
      <c r="K358" s="4">
        <v>1.2E-2</v>
      </c>
      <c r="L358" t="str">
        <f>IF(pg_1[[#This Row],[Salary]]&gt;=90000, "Met minimum", "Not met minimum")</f>
        <v>Not met minimum</v>
      </c>
    </row>
    <row r="359" spans="1:12" x14ac:dyDescent="0.25">
      <c r="A359" s="8">
        <v>358</v>
      </c>
      <c r="B359" s="9" t="s">
        <v>418</v>
      </c>
      <c r="C359" s="9" t="s">
        <v>12</v>
      </c>
      <c r="D359" s="9" t="s">
        <v>67</v>
      </c>
      <c r="E359" t="s">
        <v>989</v>
      </c>
      <c r="F359" s="11">
        <v>43900</v>
      </c>
      <c r="G359" s="10">
        <v>2546.2000000000003</v>
      </c>
      <c r="H359" s="10">
        <v>46446.2</v>
      </c>
      <c r="I359" s="9" t="s">
        <v>21</v>
      </c>
      <c r="J359" s="9" t="s">
        <v>14</v>
      </c>
      <c r="K359" s="4">
        <v>5.8000000000000003E-2</v>
      </c>
      <c r="L359" t="str">
        <f>IF(pg_1[[#This Row],[Salary]]&gt;=90000, "Met minimum", "Not met minimum")</f>
        <v>Not met minimum</v>
      </c>
    </row>
    <row r="360" spans="1:12" x14ac:dyDescent="0.25">
      <c r="A360" s="8">
        <v>359</v>
      </c>
      <c r="B360" s="9" t="s">
        <v>419</v>
      </c>
      <c r="C360" s="9" t="s">
        <v>12</v>
      </c>
      <c r="D360" s="9" t="s">
        <v>20</v>
      </c>
      <c r="E360" t="s">
        <v>992</v>
      </c>
      <c r="F360" s="11">
        <v>72700</v>
      </c>
      <c r="G360" s="10">
        <v>0</v>
      </c>
      <c r="H360" s="10">
        <v>72700</v>
      </c>
      <c r="I360" s="9" t="s">
        <v>9</v>
      </c>
      <c r="J360" s="9" t="s">
        <v>18</v>
      </c>
      <c r="K360" s="4">
        <v>0</v>
      </c>
      <c r="L360" t="str">
        <f>IF(pg_1[[#This Row],[Salary]]&gt;=90000, "Met minimum", "Not met minimum")</f>
        <v>Not met minimum</v>
      </c>
    </row>
    <row r="361" spans="1:12" x14ac:dyDescent="0.25">
      <c r="A361" s="8">
        <v>360</v>
      </c>
      <c r="B361" s="9" t="s">
        <v>420</v>
      </c>
      <c r="C361" s="9" t="s">
        <v>7</v>
      </c>
      <c r="D361" s="9" t="s">
        <v>27</v>
      </c>
      <c r="E361" t="s">
        <v>993</v>
      </c>
      <c r="F361" s="11">
        <v>29420</v>
      </c>
      <c r="G361" s="10">
        <v>794.34</v>
      </c>
      <c r="H361" s="10">
        <v>30214.34</v>
      </c>
      <c r="I361" s="9" t="s">
        <v>21</v>
      </c>
      <c r="J361" s="9" t="s">
        <v>28</v>
      </c>
      <c r="K361" s="4">
        <v>2.7E-2</v>
      </c>
      <c r="L361" t="str">
        <f>IF(pg_1[[#This Row],[Salary]]&gt;=90000, "Met minimum", "Not met minimum")</f>
        <v>Not met minimum</v>
      </c>
    </row>
    <row r="362" spans="1:12" x14ac:dyDescent="0.25">
      <c r="A362" s="8">
        <v>361</v>
      </c>
      <c r="B362" s="9" t="s">
        <v>421</v>
      </c>
      <c r="C362" s="9" t="s">
        <v>12</v>
      </c>
      <c r="D362" s="9" t="s">
        <v>20</v>
      </c>
      <c r="E362" t="s">
        <v>987</v>
      </c>
      <c r="F362" s="11">
        <v>58280</v>
      </c>
      <c r="G362" s="10">
        <v>1223.8800000000001</v>
      </c>
      <c r="H362" s="10">
        <v>59503.88</v>
      </c>
      <c r="I362" s="9" t="s">
        <v>17</v>
      </c>
      <c r="J362" s="9" t="s">
        <v>28</v>
      </c>
      <c r="K362" s="4">
        <v>2.1000000000000001E-2</v>
      </c>
      <c r="L362" t="str">
        <f>IF(pg_1[[#This Row],[Salary]]&gt;=90000, "Met minimum", "Not met minimum")</f>
        <v>Not met minimum</v>
      </c>
    </row>
    <row r="363" spans="1:12" x14ac:dyDescent="0.25">
      <c r="A363" s="8">
        <v>362</v>
      </c>
      <c r="B363" s="9" t="s">
        <v>422</v>
      </c>
      <c r="C363" s="9" t="s">
        <v>12</v>
      </c>
      <c r="D363" s="9" t="s">
        <v>50</v>
      </c>
      <c r="E363" t="s">
        <v>986</v>
      </c>
      <c r="F363" s="11">
        <v>67980</v>
      </c>
      <c r="G363" s="10">
        <v>2243.34</v>
      </c>
      <c r="H363" s="10">
        <v>70223.34</v>
      </c>
      <c r="I363" s="9" t="s">
        <v>9</v>
      </c>
      <c r="J363" s="9" t="s">
        <v>28</v>
      </c>
      <c r="K363" s="4">
        <v>3.3000000000000002E-2</v>
      </c>
      <c r="L363" t="str">
        <f>IF(pg_1[[#This Row],[Salary]]&gt;=90000, "Met minimum", "Not met minimum")</f>
        <v>Not met minimum</v>
      </c>
    </row>
    <row r="364" spans="1:12" x14ac:dyDescent="0.25">
      <c r="A364" s="8">
        <v>363</v>
      </c>
      <c r="B364" s="9" t="s">
        <v>423</v>
      </c>
      <c r="C364" s="9" t="s">
        <v>7</v>
      </c>
      <c r="D364" s="9" t="s">
        <v>20</v>
      </c>
      <c r="E364" t="s">
        <v>989</v>
      </c>
      <c r="F364" s="11">
        <v>49760</v>
      </c>
      <c r="G364" s="10">
        <v>3184.64</v>
      </c>
      <c r="H364" s="10">
        <v>52944.639999999999</v>
      </c>
      <c r="I364" s="9" t="s">
        <v>17</v>
      </c>
      <c r="J364" s="9" t="s">
        <v>10</v>
      </c>
      <c r="K364" s="4">
        <v>6.4000000000000001E-2</v>
      </c>
      <c r="L364" t="str">
        <f>IF(pg_1[[#This Row],[Salary]]&gt;=90000, "Met minimum", "Not met minimum")</f>
        <v>Not met minimum</v>
      </c>
    </row>
    <row r="365" spans="1:12" x14ac:dyDescent="0.25">
      <c r="A365" s="8">
        <v>364</v>
      </c>
      <c r="B365" s="9" t="s">
        <v>424</v>
      </c>
      <c r="C365" s="9" t="s">
        <v>7</v>
      </c>
      <c r="D365" s="9" t="s">
        <v>31</v>
      </c>
      <c r="E365" t="s">
        <v>986</v>
      </c>
      <c r="F365" s="11">
        <v>69910</v>
      </c>
      <c r="G365" s="10">
        <v>3705.23</v>
      </c>
      <c r="H365" s="10">
        <v>73615.23</v>
      </c>
      <c r="I365" s="9" t="s">
        <v>21</v>
      </c>
      <c r="J365" s="9" t="s">
        <v>14</v>
      </c>
      <c r="K365" s="4">
        <v>5.2999999999999999E-2</v>
      </c>
      <c r="L365" t="str">
        <f>IF(pg_1[[#This Row],[Salary]]&gt;=90000, "Met minimum", "Not met minimum")</f>
        <v>Not met minimum</v>
      </c>
    </row>
    <row r="366" spans="1:12" x14ac:dyDescent="0.25">
      <c r="A366" s="8">
        <v>365</v>
      </c>
      <c r="B366" s="9" t="s">
        <v>425</v>
      </c>
      <c r="C366" s="9" t="s">
        <v>7</v>
      </c>
      <c r="D366" s="9" t="s">
        <v>42</v>
      </c>
      <c r="E366" t="s">
        <v>991</v>
      </c>
      <c r="F366" s="11">
        <v>112370</v>
      </c>
      <c r="G366" s="10">
        <v>4494.8</v>
      </c>
      <c r="H366" s="10">
        <v>116864.8</v>
      </c>
      <c r="I366" s="9" t="s">
        <v>21</v>
      </c>
      <c r="J366" s="9" t="s">
        <v>28</v>
      </c>
      <c r="K366" s="4">
        <v>0.04</v>
      </c>
      <c r="L366" t="str">
        <f>IF(pg_1[[#This Row],[Salary]]&gt;=90000, "Met minimum", "Not met minimum")</f>
        <v>Met minimum</v>
      </c>
    </row>
    <row r="367" spans="1:12" x14ac:dyDescent="0.25">
      <c r="A367" s="8">
        <v>366</v>
      </c>
      <c r="B367" s="9" t="s">
        <v>426</v>
      </c>
      <c r="C367" s="9" t="s">
        <v>7</v>
      </c>
      <c r="D367" s="9" t="s">
        <v>20</v>
      </c>
      <c r="E367" t="s">
        <v>993</v>
      </c>
      <c r="F367" s="11">
        <v>28580</v>
      </c>
      <c r="G367" s="10">
        <v>600.18000000000006</v>
      </c>
      <c r="H367" s="10">
        <v>29180.18</v>
      </c>
      <c r="I367" s="9" t="s">
        <v>17</v>
      </c>
      <c r="J367" s="9" t="s">
        <v>28</v>
      </c>
      <c r="K367" s="4">
        <v>2.1000000000000001E-2</v>
      </c>
      <c r="L367" t="str">
        <f>IF(pg_1[[#This Row],[Salary]]&gt;=90000, "Met minimum", "Not met minimum")</f>
        <v>Not met minimum</v>
      </c>
    </row>
    <row r="368" spans="1:12" x14ac:dyDescent="0.25">
      <c r="A368" s="8">
        <v>367</v>
      </c>
      <c r="B368" s="9" t="s">
        <v>427</v>
      </c>
      <c r="C368" s="9" t="s">
        <v>7</v>
      </c>
      <c r="D368" s="9" t="s">
        <v>53</v>
      </c>
      <c r="E368" t="s">
        <v>989</v>
      </c>
      <c r="F368" s="11">
        <v>43590</v>
      </c>
      <c r="G368" s="10">
        <v>523.08000000000004</v>
      </c>
      <c r="H368" s="10">
        <v>44113.08</v>
      </c>
      <c r="I368" s="9" t="s">
        <v>17</v>
      </c>
      <c r="J368" s="9" t="s">
        <v>24</v>
      </c>
      <c r="K368" s="4">
        <v>1.2E-2</v>
      </c>
      <c r="L368" t="str">
        <f>IF(pg_1[[#This Row],[Salary]]&gt;=90000, "Met minimum", "Not met minimum")</f>
        <v>Not met minimum</v>
      </c>
    </row>
    <row r="369" spans="1:12" x14ac:dyDescent="0.25">
      <c r="A369" s="8">
        <v>368</v>
      </c>
      <c r="B369" s="9" t="s">
        <v>428</v>
      </c>
      <c r="C369" s="9" t="s">
        <v>970</v>
      </c>
      <c r="D369" s="9" t="s">
        <v>42</v>
      </c>
      <c r="E369" t="s">
        <v>992</v>
      </c>
      <c r="F369" s="11">
        <v>78840</v>
      </c>
      <c r="G369" s="10">
        <v>3153.6</v>
      </c>
      <c r="H369" s="10">
        <v>81993.600000000006</v>
      </c>
      <c r="I369" s="9" t="s">
        <v>9</v>
      </c>
      <c r="J369" s="9" t="s">
        <v>28</v>
      </c>
      <c r="K369" s="4">
        <v>0.04</v>
      </c>
      <c r="L369" t="str">
        <f>IF(pg_1[[#This Row],[Salary]]&gt;=90000, "Met minimum", "Not met minimum")</f>
        <v>Not met minimum</v>
      </c>
    </row>
    <row r="370" spans="1:12" x14ac:dyDescent="0.25">
      <c r="A370" s="8">
        <v>369</v>
      </c>
      <c r="B370" s="9" t="s">
        <v>429</v>
      </c>
      <c r="C370" s="9" t="s">
        <v>12</v>
      </c>
      <c r="D370" s="9" t="s">
        <v>27</v>
      </c>
      <c r="E370" t="s">
        <v>986</v>
      </c>
      <c r="F370" s="11">
        <v>61990</v>
      </c>
      <c r="G370" s="10">
        <v>0</v>
      </c>
      <c r="H370" s="10">
        <v>61990</v>
      </c>
      <c r="I370" s="9" t="s">
        <v>9</v>
      </c>
      <c r="J370" s="9" t="s">
        <v>18</v>
      </c>
      <c r="K370" s="4">
        <v>0</v>
      </c>
      <c r="L370" t="str">
        <f>IF(pg_1[[#This Row],[Salary]]&gt;=90000, "Met minimum", "Not met minimum")</f>
        <v>Not met minimum</v>
      </c>
    </row>
    <row r="371" spans="1:12" x14ac:dyDescent="0.25">
      <c r="A371" s="8">
        <v>370</v>
      </c>
      <c r="B371" s="9" t="s">
        <v>430</v>
      </c>
      <c r="C371" s="9" t="s">
        <v>7</v>
      </c>
      <c r="D371" s="9" t="s">
        <v>31</v>
      </c>
      <c r="E371" t="s">
        <v>992</v>
      </c>
      <c r="F371" s="11">
        <v>77100</v>
      </c>
      <c r="G371" s="10">
        <v>4086.2999999999997</v>
      </c>
      <c r="H371" s="10">
        <v>81186.3</v>
      </c>
      <c r="I371" s="9" t="s">
        <v>21</v>
      </c>
      <c r="J371" s="9" t="s">
        <v>14</v>
      </c>
      <c r="K371" s="4">
        <v>5.2999999999999999E-2</v>
      </c>
      <c r="L371" t="str">
        <f>IF(pg_1[[#This Row],[Salary]]&gt;=90000, "Met minimum", "Not met minimum")</f>
        <v>Not met minimum</v>
      </c>
    </row>
    <row r="372" spans="1:12" x14ac:dyDescent="0.25">
      <c r="A372" s="8">
        <v>371</v>
      </c>
      <c r="B372" s="9" t="s">
        <v>431</v>
      </c>
      <c r="C372" s="9" t="s">
        <v>12</v>
      </c>
      <c r="D372" s="9" t="s">
        <v>67</v>
      </c>
      <c r="E372" t="s">
        <v>986</v>
      </c>
      <c r="F372" s="11">
        <v>66020</v>
      </c>
      <c r="G372" s="10">
        <v>6535.9800000000005</v>
      </c>
      <c r="H372" s="10">
        <v>72555.98</v>
      </c>
      <c r="I372" s="9" t="s">
        <v>9</v>
      </c>
      <c r="J372" s="9" t="s">
        <v>10</v>
      </c>
      <c r="K372" s="4">
        <v>9.9000000000000005E-2</v>
      </c>
      <c r="L372" t="str">
        <f>IF(pg_1[[#This Row],[Salary]]&gt;=90000, "Met minimum", "Not met minimum")</f>
        <v>Not met minimum</v>
      </c>
    </row>
    <row r="373" spans="1:12" x14ac:dyDescent="0.25">
      <c r="A373" s="8">
        <v>372</v>
      </c>
      <c r="B373" s="9" t="s">
        <v>433</v>
      </c>
      <c r="C373" s="9" t="s">
        <v>12</v>
      </c>
      <c r="D373" s="9" t="s">
        <v>23</v>
      </c>
      <c r="E373" t="s">
        <v>992</v>
      </c>
      <c r="F373" s="11">
        <v>70930</v>
      </c>
      <c r="G373" s="10">
        <v>1986.04</v>
      </c>
      <c r="H373" s="10">
        <v>72916.039999999994</v>
      </c>
      <c r="I373" s="9" t="s">
        <v>21</v>
      </c>
      <c r="J373" s="9" t="s">
        <v>28</v>
      </c>
      <c r="K373" s="4">
        <v>2.8000000000000001E-2</v>
      </c>
      <c r="L373" t="str">
        <f>IF(pg_1[[#This Row],[Salary]]&gt;=90000, "Met minimum", "Not met minimum")</f>
        <v>Not met minimum</v>
      </c>
    </row>
    <row r="374" spans="1:12" x14ac:dyDescent="0.25">
      <c r="A374" s="8">
        <v>373</v>
      </c>
      <c r="B374" s="9" t="s">
        <v>434</v>
      </c>
      <c r="C374" s="9" t="s">
        <v>7</v>
      </c>
      <c r="D374" s="9" t="s">
        <v>20</v>
      </c>
      <c r="E374" t="s">
        <v>989</v>
      </c>
      <c r="F374" s="11">
        <v>40980</v>
      </c>
      <c r="G374" s="10">
        <v>204.9</v>
      </c>
      <c r="H374" s="10">
        <v>41184.9</v>
      </c>
      <c r="I374" s="9" t="s">
        <v>21</v>
      </c>
      <c r="J374" s="9" t="s">
        <v>51</v>
      </c>
      <c r="K374" s="4">
        <v>5.0000000000000001E-3</v>
      </c>
      <c r="L374" t="str">
        <f>IF(pg_1[[#This Row],[Salary]]&gt;=90000, "Met minimum", "Not met minimum")</f>
        <v>Not met minimum</v>
      </c>
    </row>
    <row r="375" spans="1:12" x14ac:dyDescent="0.25">
      <c r="A375" s="8">
        <v>374</v>
      </c>
      <c r="B375" s="9" t="s">
        <v>435</v>
      </c>
      <c r="C375" s="9" t="s">
        <v>7</v>
      </c>
      <c r="D375" s="9" t="s">
        <v>67</v>
      </c>
      <c r="E375" t="s">
        <v>989</v>
      </c>
      <c r="F375" s="11">
        <v>48980</v>
      </c>
      <c r="G375" s="10">
        <v>244.9</v>
      </c>
      <c r="H375" s="10">
        <v>49224.9</v>
      </c>
      <c r="I375" s="9" t="s">
        <v>21</v>
      </c>
      <c r="J375" s="9" t="s">
        <v>51</v>
      </c>
      <c r="K375" s="4">
        <v>5.0000000000000001E-3</v>
      </c>
      <c r="L375" t="str">
        <f>IF(pg_1[[#This Row],[Salary]]&gt;=90000, "Met minimum", "Not met minimum")</f>
        <v>Not met minimum</v>
      </c>
    </row>
    <row r="376" spans="1:12" x14ac:dyDescent="0.25">
      <c r="A376" s="8">
        <v>375</v>
      </c>
      <c r="B376" s="9" t="s">
        <v>436</v>
      </c>
      <c r="C376" s="9" t="s">
        <v>7</v>
      </c>
      <c r="D376" s="9" t="s">
        <v>42</v>
      </c>
      <c r="E376" t="s">
        <v>991</v>
      </c>
      <c r="F376" s="11">
        <v>110820</v>
      </c>
      <c r="G376" s="10">
        <v>6538.38</v>
      </c>
      <c r="H376" s="10">
        <v>117358.38</v>
      </c>
      <c r="I376" s="9" t="s">
        <v>21</v>
      </c>
      <c r="J376" s="9" t="s">
        <v>14</v>
      </c>
      <c r="K376" s="4">
        <v>5.8999999999999997E-2</v>
      </c>
      <c r="L376" t="str">
        <f>IF(pg_1[[#This Row],[Salary]]&gt;=90000, "Met minimum", "Not met minimum")</f>
        <v>Met minimum</v>
      </c>
    </row>
    <row r="377" spans="1:12" x14ac:dyDescent="0.25">
      <c r="A377" s="8">
        <v>376</v>
      </c>
      <c r="B377" s="9" t="s">
        <v>437</v>
      </c>
      <c r="C377" s="9" t="s">
        <v>12</v>
      </c>
      <c r="D377" s="9" t="s">
        <v>34</v>
      </c>
      <c r="E377" t="s">
        <v>986</v>
      </c>
      <c r="F377" s="11">
        <v>61690</v>
      </c>
      <c r="G377" s="10">
        <v>3084.5</v>
      </c>
      <c r="H377" s="10">
        <v>64774.5</v>
      </c>
      <c r="I377" s="9" t="s">
        <v>17</v>
      </c>
      <c r="J377" s="9" t="s">
        <v>14</v>
      </c>
      <c r="K377" s="4">
        <v>0.05</v>
      </c>
      <c r="L377" t="str">
        <f>IF(pg_1[[#This Row],[Salary]]&gt;=90000, "Met minimum", "Not met minimum")</f>
        <v>Not met minimum</v>
      </c>
    </row>
    <row r="378" spans="1:12" x14ac:dyDescent="0.25">
      <c r="A378" s="8">
        <v>377</v>
      </c>
      <c r="B378" s="9" t="s">
        <v>439</v>
      </c>
      <c r="C378" s="9" t="s">
        <v>970</v>
      </c>
      <c r="D378" s="9" t="s">
        <v>23</v>
      </c>
      <c r="E378" t="s">
        <v>988</v>
      </c>
      <c r="F378" s="11">
        <v>104800</v>
      </c>
      <c r="G378" s="10">
        <v>2934.4</v>
      </c>
      <c r="H378" s="10">
        <v>107734.39999999999</v>
      </c>
      <c r="I378" s="9" t="s">
        <v>9</v>
      </c>
      <c r="J378" s="9" t="s">
        <v>28</v>
      </c>
      <c r="K378" s="4">
        <v>2.8000000000000001E-2</v>
      </c>
      <c r="L378" t="str">
        <f>IF(pg_1[[#This Row],[Salary]]&gt;=90000, "Met minimum", "Not met minimum")</f>
        <v>Met minimum</v>
      </c>
    </row>
    <row r="379" spans="1:12" x14ac:dyDescent="0.25">
      <c r="A379" s="8">
        <v>378</v>
      </c>
      <c r="B379" s="9" t="s">
        <v>440</v>
      </c>
      <c r="C379" s="9" t="s">
        <v>7</v>
      </c>
      <c r="D379" s="9" t="s">
        <v>53</v>
      </c>
      <c r="E379" t="s">
        <v>987</v>
      </c>
      <c r="F379" s="11">
        <v>56280</v>
      </c>
      <c r="G379" s="10">
        <v>675.36</v>
      </c>
      <c r="H379" s="10">
        <v>56955.360000000001</v>
      </c>
      <c r="I379" s="9" t="s">
        <v>21</v>
      </c>
      <c r="J379" s="9" t="s">
        <v>24</v>
      </c>
      <c r="K379" s="4">
        <v>1.2E-2</v>
      </c>
      <c r="L379" t="str">
        <f>IF(pg_1[[#This Row],[Salary]]&gt;=90000, "Met minimum", "Not met minimum")</f>
        <v>Not met minimum</v>
      </c>
    </row>
    <row r="380" spans="1:12" x14ac:dyDescent="0.25">
      <c r="A380" s="8">
        <v>379</v>
      </c>
      <c r="B380" s="9" t="s">
        <v>441</v>
      </c>
      <c r="C380" s="9" t="s">
        <v>7</v>
      </c>
      <c r="D380" s="9" t="s">
        <v>13</v>
      </c>
      <c r="E380" t="s">
        <v>985</v>
      </c>
      <c r="F380" s="11">
        <v>88380</v>
      </c>
      <c r="G380" s="10">
        <v>3800.3399999999997</v>
      </c>
      <c r="H380" s="10">
        <v>92180.34</v>
      </c>
      <c r="I380" s="9" t="s">
        <v>21</v>
      </c>
      <c r="J380" s="9" t="s">
        <v>14</v>
      </c>
      <c r="K380" s="4">
        <v>4.2999999999999997E-2</v>
      </c>
      <c r="L380" t="str">
        <f>IF(pg_1[[#This Row],[Salary]]&gt;=90000, "Met minimum", "Not met minimum")</f>
        <v>Not met minimum</v>
      </c>
    </row>
    <row r="381" spans="1:12" x14ac:dyDescent="0.25">
      <c r="A381" s="8">
        <v>380</v>
      </c>
      <c r="B381" s="9" t="s">
        <v>442</v>
      </c>
      <c r="C381" s="9" t="s">
        <v>7</v>
      </c>
      <c r="D381" s="9" t="s">
        <v>13</v>
      </c>
      <c r="E381" t="s">
        <v>987</v>
      </c>
      <c r="F381" s="11">
        <v>52590</v>
      </c>
      <c r="G381" s="10">
        <v>2261.37</v>
      </c>
      <c r="H381" s="10">
        <v>54851.37</v>
      </c>
      <c r="I381" s="9" t="s">
        <v>9</v>
      </c>
      <c r="J381" s="9" t="s">
        <v>14</v>
      </c>
      <c r="K381" s="4">
        <v>4.2999999999999997E-2</v>
      </c>
      <c r="L381" t="str">
        <f>IF(pg_1[[#This Row],[Salary]]&gt;=90000, "Met minimum", "Not met minimum")</f>
        <v>Not met minimum</v>
      </c>
    </row>
    <row r="382" spans="1:12" x14ac:dyDescent="0.25">
      <c r="A382" s="8">
        <v>381</v>
      </c>
      <c r="B382" s="9" t="s">
        <v>443</v>
      </c>
      <c r="C382" s="9" t="s">
        <v>7</v>
      </c>
      <c r="D382" s="9" t="s">
        <v>31</v>
      </c>
      <c r="E382" t="s">
        <v>989</v>
      </c>
      <c r="F382" s="11">
        <v>47650</v>
      </c>
      <c r="G382" s="10">
        <v>714.75</v>
      </c>
      <c r="H382" s="10">
        <v>48364.75</v>
      </c>
      <c r="I382" s="9" t="s">
        <v>17</v>
      </c>
      <c r="J382" s="9" t="s">
        <v>24</v>
      </c>
      <c r="K382" s="4">
        <v>1.4999999999999999E-2</v>
      </c>
      <c r="L382" t="str">
        <f>IF(pg_1[[#This Row],[Salary]]&gt;=90000, "Met minimum", "Not met minimum")</f>
        <v>Not met minimum</v>
      </c>
    </row>
    <row r="383" spans="1:12" x14ac:dyDescent="0.25">
      <c r="A383" s="8">
        <v>382</v>
      </c>
      <c r="B383" s="9" t="s">
        <v>444</v>
      </c>
      <c r="C383" s="9" t="s">
        <v>12</v>
      </c>
      <c r="D383" s="9" t="s">
        <v>8</v>
      </c>
      <c r="E383" t="s">
        <v>992</v>
      </c>
      <c r="F383" s="11">
        <v>72350</v>
      </c>
      <c r="G383" s="10">
        <v>3689.85</v>
      </c>
      <c r="H383" s="10">
        <v>76039.850000000006</v>
      </c>
      <c r="I383" s="9" t="s">
        <v>17</v>
      </c>
      <c r="J383" s="9" t="s">
        <v>14</v>
      </c>
      <c r="K383" s="4">
        <v>5.0999999999999997E-2</v>
      </c>
      <c r="L383" t="str">
        <f>IF(pg_1[[#This Row],[Salary]]&gt;=90000, "Met minimum", "Not met minimum")</f>
        <v>Not met minimum</v>
      </c>
    </row>
    <row r="384" spans="1:12" x14ac:dyDescent="0.25">
      <c r="A384" s="8">
        <v>383</v>
      </c>
      <c r="B384" s="9" t="s">
        <v>445</v>
      </c>
      <c r="C384" s="9" t="s">
        <v>12</v>
      </c>
      <c r="D384" s="9" t="s">
        <v>53</v>
      </c>
      <c r="E384" t="s">
        <v>990</v>
      </c>
      <c r="F384" s="11">
        <v>39940</v>
      </c>
      <c r="G384" s="10">
        <v>798.80000000000007</v>
      </c>
      <c r="H384" s="10">
        <v>40738.800000000003</v>
      </c>
      <c r="I384" s="9" t="s">
        <v>9</v>
      </c>
      <c r="J384" s="9" t="s">
        <v>28</v>
      </c>
      <c r="K384" s="4">
        <v>0.02</v>
      </c>
      <c r="L384" t="str">
        <f>IF(pg_1[[#This Row],[Salary]]&gt;=90000, "Met minimum", "Not met minimum")</f>
        <v>Not met minimum</v>
      </c>
    </row>
    <row r="385" spans="1:12" x14ac:dyDescent="0.25">
      <c r="A385" s="8">
        <v>384</v>
      </c>
      <c r="B385" s="9" t="s">
        <v>446</v>
      </c>
      <c r="C385" s="9" t="s">
        <v>7</v>
      </c>
      <c r="D385" s="9" t="s">
        <v>50</v>
      </c>
      <c r="E385" t="s">
        <v>993</v>
      </c>
      <c r="F385" s="11">
        <v>28130</v>
      </c>
      <c r="G385" s="10">
        <v>562.6</v>
      </c>
      <c r="H385" s="10">
        <v>28692.6</v>
      </c>
      <c r="I385" s="9" t="s">
        <v>17</v>
      </c>
      <c r="J385" s="9" t="s">
        <v>24</v>
      </c>
      <c r="K385" s="4">
        <v>0.02</v>
      </c>
      <c r="L385" t="str">
        <f>IF(pg_1[[#This Row],[Salary]]&gt;=90000, "Met minimum", "Not met minimum")</f>
        <v>Not met minimum</v>
      </c>
    </row>
    <row r="386" spans="1:12" x14ac:dyDescent="0.25">
      <c r="A386" s="8">
        <v>385</v>
      </c>
      <c r="B386" s="9" t="s">
        <v>447</v>
      </c>
      <c r="C386" s="9" t="s">
        <v>970</v>
      </c>
      <c r="D386" s="9" t="s">
        <v>13</v>
      </c>
      <c r="E386" t="s">
        <v>986</v>
      </c>
      <c r="F386" s="11">
        <v>69460</v>
      </c>
      <c r="G386" s="10">
        <v>4237.0599999999995</v>
      </c>
      <c r="H386" s="10">
        <v>73697.06</v>
      </c>
      <c r="I386" s="9" t="s">
        <v>17</v>
      </c>
      <c r="J386" s="9" t="s">
        <v>10</v>
      </c>
      <c r="K386" s="4">
        <v>6.0999999999999999E-2</v>
      </c>
      <c r="L386" t="str">
        <f>IF(pg_1[[#This Row],[Salary]]&gt;=90000, "Met minimum", "Not met minimum")</f>
        <v>Not met minimum</v>
      </c>
    </row>
    <row r="387" spans="1:12" x14ac:dyDescent="0.25">
      <c r="A387" s="8">
        <v>386</v>
      </c>
      <c r="B387" s="9" t="s">
        <v>448</v>
      </c>
      <c r="C387" s="9" t="s">
        <v>7</v>
      </c>
      <c r="D387" s="9" t="s">
        <v>31</v>
      </c>
      <c r="E387" t="s">
        <v>988</v>
      </c>
      <c r="F387" s="11">
        <v>109030</v>
      </c>
      <c r="G387" s="10">
        <v>7850.16</v>
      </c>
      <c r="H387" s="10">
        <v>116880.16</v>
      </c>
      <c r="I387" s="9" t="s">
        <v>17</v>
      </c>
      <c r="J387" s="9" t="s">
        <v>10</v>
      </c>
      <c r="K387" s="4">
        <v>7.1999999999999995E-2</v>
      </c>
      <c r="L387" t="str">
        <f>IF(pg_1[[#This Row],[Salary]]&gt;=90000, "Met minimum", "Not met minimum")</f>
        <v>Met minimum</v>
      </c>
    </row>
    <row r="388" spans="1:12" x14ac:dyDescent="0.25">
      <c r="A388" s="8">
        <v>387</v>
      </c>
      <c r="B388" s="9" t="s">
        <v>449</v>
      </c>
      <c r="C388" s="9" t="s">
        <v>7</v>
      </c>
      <c r="D388" s="9" t="s">
        <v>37</v>
      </c>
      <c r="E388" t="s">
        <v>986</v>
      </c>
      <c r="F388" s="11">
        <v>66460</v>
      </c>
      <c r="G388" s="10">
        <v>2126.7200000000003</v>
      </c>
      <c r="H388" s="10">
        <v>68586.720000000001</v>
      </c>
      <c r="I388" s="9" t="s">
        <v>9</v>
      </c>
      <c r="J388" s="9" t="s">
        <v>28</v>
      </c>
      <c r="K388" s="4">
        <v>3.2000000000000001E-2</v>
      </c>
      <c r="L388" t="str">
        <f>IF(pg_1[[#This Row],[Salary]]&gt;=90000, "Met minimum", "Not met minimum")</f>
        <v>Not met minimum</v>
      </c>
    </row>
    <row r="389" spans="1:12" x14ac:dyDescent="0.25">
      <c r="A389" s="8">
        <v>388</v>
      </c>
      <c r="B389" s="9" t="s">
        <v>450</v>
      </c>
      <c r="C389" s="9" t="s">
        <v>12</v>
      </c>
      <c r="D389" s="9" t="s">
        <v>42</v>
      </c>
      <c r="E389" t="s">
        <v>987</v>
      </c>
      <c r="F389" s="11">
        <v>50810</v>
      </c>
      <c r="G389" s="10">
        <v>0</v>
      </c>
      <c r="H389" s="10">
        <v>50810</v>
      </c>
      <c r="I389" s="9" t="s">
        <v>17</v>
      </c>
      <c r="J389" s="9" t="s">
        <v>18</v>
      </c>
      <c r="K389" s="4">
        <v>0</v>
      </c>
      <c r="L389" t="str">
        <f>IF(pg_1[[#This Row],[Salary]]&gt;=90000, "Met minimum", "Not met minimum")</f>
        <v>Not met minimum</v>
      </c>
    </row>
    <row r="390" spans="1:12" x14ac:dyDescent="0.25">
      <c r="A390" s="8">
        <v>389</v>
      </c>
      <c r="B390" s="9" t="s">
        <v>452</v>
      </c>
      <c r="C390" s="9" t="s">
        <v>7</v>
      </c>
      <c r="D390" s="9" t="s">
        <v>20</v>
      </c>
      <c r="E390" t="s">
        <v>991</v>
      </c>
      <c r="F390" s="11">
        <v>114510</v>
      </c>
      <c r="G390" s="10">
        <v>2404.71</v>
      </c>
      <c r="H390" s="10">
        <v>116914.71</v>
      </c>
      <c r="I390" s="9" t="s">
        <v>21</v>
      </c>
      <c r="J390" s="9" t="s">
        <v>28</v>
      </c>
      <c r="K390" s="4">
        <v>2.1000000000000001E-2</v>
      </c>
      <c r="L390" t="str">
        <f>IF(pg_1[[#This Row],[Salary]]&gt;=90000, "Met minimum", "Not met minimum")</f>
        <v>Met minimum</v>
      </c>
    </row>
    <row r="391" spans="1:12" x14ac:dyDescent="0.25">
      <c r="A391" s="8">
        <v>390</v>
      </c>
      <c r="B391" s="9" t="s">
        <v>453</v>
      </c>
      <c r="C391" s="9" t="s">
        <v>12</v>
      </c>
      <c r="D391" s="9" t="s">
        <v>34</v>
      </c>
      <c r="E391" t="s">
        <v>985</v>
      </c>
      <c r="F391" s="11">
        <v>86230</v>
      </c>
      <c r="G391" s="10">
        <v>1552.1399999999999</v>
      </c>
      <c r="H391" s="10">
        <v>87782.14</v>
      </c>
      <c r="I391" s="9" t="s">
        <v>17</v>
      </c>
      <c r="J391" s="9" t="s">
        <v>24</v>
      </c>
      <c r="K391" s="4">
        <v>1.7999999999999999E-2</v>
      </c>
      <c r="L391" t="str">
        <f>IF(pg_1[[#This Row],[Salary]]&gt;=90000, "Met minimum", "Not met minimum")</f>
        <v>Not met minimum</v>
      </c>
    </row>
    <row r="392" spans="1:12" x14ac:dyDescent="0.25">
      <c r="A392" s="8">
        <v>391</v>
      </c>
      <c r="B392" s="9" t="s">
        <v>454</v>
      </c>
      <c r="C392" s="9" t="s">
        <v>7</v>
      </c>
      <c r="D392" s="9" t="s">
        <v>23</v>
      </c>
      <c r="E392" t="s">
        <v>992</v>
      </c>
      <c r="F392" s="11">
        <v>73240</v>
      </c>
      <c r="G392" s="10">
        <v>2050.7200000000003</v>
      </c>
      <c r="H392" s="10">
        <v>75290.720000000001</v>
      </c>
      <c r="I392" s="9" t="s">
        <v>21</v>
      </c>
      <c r="J392" s="9" t="s">
        <v>28</v>
      </c>
      <c r="K392" s="4">
        <v>2.8000000000000001E-2</v>
      </c>
      <c r="L392" t="str">
        <f>IF(pg_1[[#This Row],[Salary]]&gt;=90000, "Met minimum", "Not met minimum")</f>
        <v>Not met minimum</v>
      </c>
    </row>
    <row r="393" spans="1:12" x14ac:dyDescent="0.25">
      <c r="A393" s="8">
        <v>392</v>
      </c>
      <c r="B393" s="9" t="s">
        <v>455</v>
      </c>
      <c r="C393" s="9" t="s">
        <v>12</v>
      </c>
      <c r="D393" s="9" t="s">
        <v>34</v>
      </c>
      <c r="E393" t="s">
        <v>987</v>
      </c>
      <c r="F393" s="11">
        <v>53920</v>
      </c>
      <c r="G393" s="10">
        <v>970.56</v>
      </c>
      <c r="H393" s="10">
        <v>54890.559999999998</v>
      </c>
      <c r="I393" s="9" t="s">
        <v>21</v>
      </c>
      <c r="J393" s="9" t="s">
        <v>24</v>
      </c>
      <c r="K393" s="4">
        <v>1.7999999999999999E-2</v>
      </c>
      <c r="L393" t="str">
        <f>IF(pg_1[[#This Row],[Salary]]&gt;=90000, "Met minimum", "Not met minimum")</f>
        <v>Not met minimum</v>
      </c>
    </row>
    <row r="394" spans="1:12" x14ac:dyDescent="0.25">
      <c r="A394" s="8">
        <v>393</v>
      </c>
      <c r="B394" s="9" t="s">
        <v>456</v>
      </c>
      <c r="C394" s="9" t="s">
        <v>12</v>
      </c>
      <c r="D394" s="9" t="s">
        <v>13</v>
      </c>
      <c r="E394" t="s">
        <v>991</v>
      </c>
      <c r="F394" s="11">
        <v>113690</v>
      </c>
      <c r="G394" s="10">
        <v>3979.1500000000005</v>
      </c>
      <c r="H394" s="10">
        <v>117669.15</v>
      </c>
      <c r="I394" s="9" t="s">
        <v>21</v>
      </c>
      <c r="J394" s="9" t="s">
        <v>28</v>
      </c>
      <c r="K394" s="4">
        <v>3.5000000000000003E-2</v>
      </c>
      <c r="L394" t="str">
        <f>IF(pg_1[[#This Row],[Salary]]&gt;=90000, "Met minimum", "Not met minimum")</f>
        <v>Met minimum</v>
      </c>
    </row>
    <row r="395" spans="1:12" x14ac:dyDescent="0.25">
      <c r="A395" s="8">
        <v>394</v>
      </c>
      <c r="B395" s="9" t="s">
        <v>457</v>
      </c>
      <c r="C395" s="9" t="s">
        <v>7</v>
      </c>
      <c r="D395" s="9" t="s">
        <v>34</v>
      </c>
      <c r="E395" t="s">
        <v>988</v>
      </c>
      <c r="F395" s="11">
        <v>101790</v>
      </c>
      <c r="G395" s="10">
        <v>2442.96</v>
      </c>
      <c r="H395" s="10">
        <v>104232.96000000001</v>
      </c>
      <c r="I395" s="9" t="s">
        <v>9</v>
      </c>
      <c r="J395" s="9" t="s">
        <v>28</v>
      </c>
      <c r="K395" s="4">
        <v>2.4E-2</v>
      </c>
      <c r="L395" t="str">
        <f>IF(pg_1[[#This Row],[Salary]]&gt;=90000, "Met minimum", "Not met minimum")</f>
        <v>Met minimum</v>
      </c>
    </row>
    <row r="396" spans="1:12" x14ac:dyDescent="0.25">
      <c r="A396" s="8">
        <v>395</v>
      </c>
      <c r="B396" s="9" t="s">
        <v>458</v>
      </c>
      <c r="C396" s="9" t="s">
        <v>12</v>
      </c>
      <c r="D396" s="9" t="s">
        <v>13</v>
      </c>
      <c r="E396" t="s">
        <v>990</v>
      </c>
      <c r="F396" s="11">
        <v>38930</v>
      </c>
      <c r="G396" s="10">
        <v>1362.5500000000002</v>
      </c>
      <c r="H396" s="10">
        <v>40292.550000000003</v>
      </c>
      <c r="I396" s="9" t="s">
        <v>17</v>
      </c>
      <c r="J396" s="9" t="s">
        <v>28</v>
      </c>
      <c r="K396" s="4">
        <v>3.5000000000000003E-2</v>
      </c>
      <c r="L396" t="str">
        <f>IF(pg_1[[#This Row],[Salary]]&gt;=90000, "Met minimum", "Not met minimum")</f>
        <v>Not met minimum</v>
      </c>
    </row>
    <row r="397" spans="1:12" x14ac:dyDescent="0.25">
      <c r="A397" s="8">
        <v>396</v>
      </c>
      <c r="B397" s="9" t="s">
        <v>459</v>
      </c>
      <c r="C397" s="9" t="s">
        <v>7</v>
      </c>
      <c r="D397" s="9" t="s">
        <v>27</v>
      </c>
      <c r="E397" t="s">
        <v>987</v>
      </c>
      <c r="F397" s="11">
        <v>57090</v>
      </c>
      <c r="G397" s="10">
        <v>285.45</v>
      </c>
      <c r="H397" s="10">
        <v>57375.45</v>
      </c>
      <c r="I397" s="9" t="s">
        <v>21</v>
      </c>
      <c r="J397" s="9" t="s">
        <v>51</v>
      </c>
      <c r="K397" s="4">
        <v>5.0000000000000001E-3</v>
      </c>
      <c r="L397" t="str">
        <f>IF(pg_1[[#This Row],[Salary]]&gt;=90000, "Met minimum", "Not met minimum")</f>
        <v>Not met minimum</v>
      </c>
    </row>
    <row r="398" spans="1:12" x14ac:dyDescent="0.25">
      <c r="A398" s="8">
        <v>397</v>
      </c>
      <c r="B398" s="9" t="s">
        <v>460</v>
      </c>
      <c r="C398" s="9" t="s">
        <v>7</v>
      </c>
      <c r="D398" s="9" t="s">
        <v>37</v>
      </c>
      <c r="E398" t="s">
        <v>988</v>
      </c>
      <c r="F398" s="11">
        <v>106170</v>
      </c>
      <c r="G398" s="10">
        <v>1061.7</v>
      </c>
      <c r="H398" s="10">
        <v>107231.7</v>
      </c>
      <c r="I398" s="9" t="s">
        <v>9</v>
      </c>
      <c r="J398" s="9" t="s">
        <v>24</v>
      </c>
      <c r="K398" s="4">
        <v>0.01</v>
      </c>
      <c r="L398" t="str">
        <f>IF(pg_1[[#This Row],[Salary]]&gt;=90000, "Met minimum", "Not met minimum")</f>
        <v>Met minimum</v>
      </c>
    </row>
    <row r="399" spans="1:12" x14ac:dyDescent="0.25">
      <c r="A399" s="8">
        <v>398</v>
      </c>
      <c r="B399" s="9" t="s">
        <v>461</v>
      </c>
      <c r="C399" s="9" t="s">
        <v>12</v>
      </c>
      <c r="D399" s="9" t="s">
        <v>27</v>
      </c>
      <c r="E399" t="s">
        <v>987</v>
      </c>
      <c r="F399" s="11">
        <v>59550</v>
      </c>
      <c r="G399" s="10">
        <v>1607.85</v>
      </c>
      <c r="H399" s="10">
        <v>61157.85</v>
      </c>
      <c r="I399" s="9" t="s">
        <v>17</v>
      </c>
      <c r="J399" s="9" t="s">
        <v>28</v>
      </c>
      <c r="K399" s="4">
        <v>2.7E-2</v>
      </c>
      <c r="L399" t="str">
        <f>IF(pg_1[[#This Row],[Salary]]&gt;=90000, "Met minimum", "Not met minimum")</f>
        <v>Not met minimum</v>
      </c>
    </row>
    <row r="400" spans="1:12" x14ac:dyDescent="0.25">
      <c r="A400" s="8">
        <v>399</v>
      </c>
      <c r="B400" s="9" t="s">
        <v>462</v>
      </c>
      <c r="C400" s="9" t="s">
        <v>7</v>
      </c>
      <c r="D400" s="9" t="s">
        <v>37</v>
      </c>
      <c r="E400" t="s">
        <v>985</v>
      </c>
      <c r="F400" s="11">
        <v>89960</v>
      </c>
      <c r="G400" s="10">
        <v>899.6</v>
      </c>
      <c r="H400" s="10">
        <v>90859.6</v>
      </c>
      <c r="I400" s="9" t="s">
        <v>9</v>
      </c>
      <c r="J400" s="9" t="s">
        <v>24</v>
      </c>
      <c r="K400" s="4">
        <v>0.01</v>
      </c>
      <c r="L400" t="str">
        <f>IF(pg_1[[#This Row],[Salary]]&gt;=90000, "Met minimum", "Not met minimum")</f>
        <v>Not met minimum</v>
      </c>
    </row>
    <row r="401" spans="1:12" x14ac:dyDescent="0.25">
      <c r="A401" s="8">
        <v>400</v>
      </c>
      <c r="B401" s="9" t="s">
        <v>463</v>
      </c>
      <c r="C401" s="9" t="s">
        <v>970</v>
      </c>
      <c r="D401" s="9" t="s">
        <v>23</v>
      </c>
      <c r="E401" t="s">
        <v>987</v>
      </c>
      <c r="F401" s="11">
        <v>58850</v>
      </c>
      <c r="G401" s="10">
        <v>588.5</v>
      </c>
      <c r="H401" s="10">
        <v>59438.5</v>
      </c>
      <c r="I401" s="9" t="s">
        <v>9</v>
      </c>
      <c r="J401" s="9" t="s">
        <v>24</v>
      </c>
      <c r="K401" s="4">
        <v>0.01</v>
      </c>
      <c r="L401" t="str">
        <f>IF(pg_1[[#This Row],[Salary]]&gt;=90000, "Met minimum", "Not met minimum")</f>
        <v>Not met minimum</v>
      </c>
    </row>
    <row r="402" spans="1:12" x14ac:dyDescent="0.25">
      <c r="A402" s="8">
        <v>401</v>
      </c>
      <c r="B402" s="9" t="s">
        <v>464</v>
      </c>
      <c r="C402" s="9" t="s">
        <v>12</v>
      </c>
      <c r="D402" s="9" t="s">
        <v>37</v>
      </c>
      <c r="E402" t="s">
        <v>986</v>
      </c>
      <c r="F402" s="11">
        <v>68200</v>
      </c>
      <c r="G402" s="10">
        <v>2182.4</v>
      </c>
      <c r="H402" s="10">
        <v>70382.399999999994</v>
      </c>
      <c r="I402" s="9" t="s">
        <v>9</v>
      </c>
      <c r="J402" s="9" t="s">
        <v>28</v>
      </c>
      <c r="K402" s="4">
        <v>3.2000000000000001E-2</v>
      </c>
      <c r="L402" t="str">
        <f>IF(pg_1[[#This Row],[Salary]]&gt;=90000, "Met minimum", "Not met minimum")</f>
        <v>Not met minimum</v>
      </c>
    </row>
    <row r="403" spans="1:12" x14ac:dyDescent="0.25">
      <c r="A403" s="8">
        <v>402</v>
      </c>
      <c r="B403" s="9" t="s">
        <v>465</v>
      </c>
      <c r="C403" s="9" t="s">
        <v>7</v>
      </c>
      <c r="D403" s="9" t="s">
        <v>67</v>
      </c>
      <c r="E403" t="s">
        <v>994</v>
      </c>
      <c r="F403" s="11">
        <v>90130</v>
      </c>
      <c r="G403" s="10">
        <v>5227.54</v>
      </c>
      <c r="H403" s="10">
        <v>95357.54</v>
      </c>
      <c r="I403" s="9" t="s">
        <v>21</v>
      </c>
      <c r="J403" s="9" t="s">
        <v>14</v>
      </c>
      <c r="K403" s="4">
        <v>5.8000000000000003E-2</v>
      </c>
      <c r="L403" t="str">
        <f>IF(pg_1[[#This Row],[Salary]]&gt;=90000, "Met minimum", "Not met minimum")</f>
        <v>Met minimum</v>
      </c>
    </row>
    <row r="404" spans="1:12" x14ac:dyDescent="0.25">
      <c r="A404" s="8">
        <v>403</v>
      </c>
      <c r="B404" s="9" t="s">
        <v>466</v>
      </c>
      <c r="C404" s="9" t="s">
        <v>12</v>
      </c>
      <c r="D404" s="9" t="s">
        <v>31</v>
      </c>
      <c r="E404" t="s">
        <v>989</v>
      </c>
      <c r="F404" s="11">
        <v>45060</v>
      </c>
      <c r="G404" s="10">
        <v>2388.1799999999998</v>
      </c>
      <c r="H404" s="10">
        <v>47448.18</v>
      </c>
      <c r="I404" s="9" t="s">
        <v>21</v>
      </c>
      <c r="J404" s="9" t="s">
        <v>14</v>
      </c>
      <c r="K404" s="4">
        <v>5.2999999999999999E-2</v>
      </c>
      <c r="L404" t="str">
        <f>IF(pg_1[[#This Row],[Salary]]&gt;=90000, "Met minimum", "Not met minimum")</f>
        <v>Not met minimum</v>
      </c>
    </row>
    <row r="405" spans="1:12" x14ac:dyDescent="0.25">
      <c r="A405" s="8">
        <v>404</v>
      </c>
      <c r="B405" s="9" t="s">
        <v>467</v>
      </c>
      <c r="C405" s="9" t="s">
        <v>7</v>
      </c>
      <c r="D405" s="9" t="s">
        <v>37</v>
      </c>
      <c r="E405" t="s">
        <v>986</v>
      </c>
      <c r="F405" s="11">
        <v>66370</v>
      </c>
      <c r="G405" s="10">
        <v>2123.84</v>
      </c>
      <c r="H405" s="10">
        <v>68493.84</v>
      </c>
      <c r="I405" s="9" t="s">
        <v>9</v>
      </c>
      <c r="J405" s="9" t="s">
        <v>28</v>
      </c>
      <c r="K405" s="4">
        <v>3.2000000000000001E-2</v>
      </c>
      <c r="L405" t="str">
        <f>IF(pg_1[[#This Row],[Salary]]&gt;=90000, "Met minimum", "Not met minimum")</f>
        <v>Not met minimum</v>
      </c>
    </row>
    <row r="406" spans="1:12" x14ac:dyDescent="0.25">
      <c r="A406" s="8">
        <v>405</v>
      </c>
      <c r="B406" s="9" t="s">
        <v>468</v>
      </c>
      <c r="C406" s="9" t="s">
        <v>12</v>
      </c>
      <c r="D406" s="9" t="s">
        <v>31</v>
      </c>
      <c r="E406" t="s">
        <v>985</v>
      </c>
      <c r="F406" s="11">
        <v>85880</v>
      </c>
      <c r="G406" s="10">
        <v>4551.6399999999994</v>
      </c>
      <c r="H406" s="10">
        <v>90431.64</v>
      </c>
      <c r="I406" s="9" t="s">
        <v>17</v>
      </c>
      <c r="J406" s="9" t="s">
        <v>14</v>
      </c>
      <c r="K406" s="4">
        <v>5.2999999999999999E-2</v>
      </c>
      <c r="L406" t="str">
        <f>IF(pg_1[[#This Row],[Salary]]&gt;=90000, "Met minimum", "Not met minimum")</f>
        <v>Not met minimum</v>
      </c>
    </row>
    <row r="407" spans="1:12" x14ac:dyDescent="0.25">
      <c r="A407" s="8">
        <v>406</v>
      </c>
      <c r="B407" s="9" t="s">
        <v>470</v>
      </c>
      <c r="C407" s="9" t="s">
        <v>7</v>
      </c>
      <c r="D407" s="9" t="s">
        <v>23</v>
      </c>
      <c r="E407" t="s">
        <v>987</v>
      </c>
      <c r="F407" s="11">
        <v>59260</v>
      </c>
      <c r="G407" s="10">
        <v>592.6</v>
      </c>
      <c r="H407" s="10">
        <v>59852.6</v>
      </c>
      <c r="I407" s="9" t="s">
        <v>9</v>
      </c>
      <c r="J407" s="9" t="s">
        <v>24</v>
      </c>
      <c r="K407" s="4">
        <v>0.01</v>
      </c>
      <c r="L407" t="str">
        <f>IF(pg_1[[#This Row],[Salary]]&gt;=90000, "Met minimum", "Not met minimum")</f>
        <v>Not met minimum</v>
      </c>
    </row>
    <row r="408" spans="1:12" x14ac:dyDescent="0.25">
      <c r="A408" s="8">
        <v>407</v>
      </c>
      <c r="B408" s="9" t="s">
        <v>471</v>
      </c>
      <c r="C408" s="9" t="s">
        <v>7</v>
      </c>
      <c r="D408" s="9" t="s">
        <v>20</v>
      </c>
      <c r="E408" t="s">
        <v>986</v>
      </c>
      <c r="F408" s="11">
        <v>61790</v>
      </c>
      <c r="G408" s="10">
        <v>1297.5900000000001</v>
      </c>
      <c r="H408" s="10">
        <v>63087.59</v>
      </c>
      <c r="I408" s="9" t="s">
        <v>17</v>
      </c>
      <c r="J408" s="9" t="s">
        <v>28</v>
      </c>
      <c r="K408" s="4">
        <v>2.1000000000000001E-2</v>
      </c>
      <c r="L408" t="str">
        <f>IF(pg_1[[#This Row],[Salary]]&gt;=90000, "Met minimum", "Not met minimum")</f>
        <v>Not met minimum</v>
      </c>
    </row>
    <row r="409" spans="1:12" x14ac:dyDescent="0.25">
      <c r="A409" s="8">
        <v>408</v>
      </c>
      <c r="B409" s="9" t="s">
        <v>472</v>
      </c>
      <c r="C409" s="9" t="s">
        <v>7</v>
      </c>
      <c r="D409" s="9" t="s">
        <v>42</v>
      </c>
      <c r="E409" t="s">
        <v>989</v>
      </c>
      <c r="F409" s="11">
        <v>48180</v>
      </c>
      <c r="G409" s="10">
        <v>2842.62</v>
      </c>
      <c r="H409" s="10">
        <v>51022.62</v>
      </c>
      <c r="I409" s="9" t="s">
        <v>17</v>
      </c>
      <c r="J409" s="9" t="s">
        <v>14</v>
      </c>
      <c r="K409" s="4">
        <v>5.8999999999999997E-2</v>
      </c>
      <c r="L409" t="str">
        <f>IF(pg_1[[#This Row],[Salary]]&gt;=90000, "Met minimum", "Not met minimum")</f>
        <v>Not met minimum</v>
      </c>
    </row>
    <row r="410" spans="1:12" x14ac:dyDescent="0.25">
      <c r="A410" s="8">
        <v>409</v>
      </c>
      <c r="B410" s="9" t="s">
        <v>473</v>
      </c>
      <c r="C410" s="9" t="s">
        <v>12</v>
      </c>
      <c r="D410" s="9" t="s">
        <v>37</v>
      </c>
      <c r="E410" t="s">
        <v>992</v>
      </c>
      <c r="F410" s="11">
        <v>74800</v>
      </c>
      <c r="G410" s="10">
        <v>374</v>
      </c>
      <c r="H410" s="10">
        <v>75174</v>
      </c>
      <c r="I410" s="9" t="s">
        <v>9</v>
      </c>
      <c r="J410" s="9" t="s">
        <v>51</v>
      </c>
      <c r="K410" s="4">
        <v>5.0000000000000001E-3</v>
      </c>
      <c r="L410" t="str">
        <f>IF(pg_1[[#This Row],[Salary]]&gt;=90000, "Met minimum", "Not met minimum")</f>
        <v>Not met minimum</v>
      </c>
    </row>
    <row r="411" spans="1:12" x14ac:dyDescent="0.25">
      <c r="A411" s="8">
        <v>410</v>
      </c>
      <c r="B411" s="9" t="s">
        <v>474</v>
      </c>
      <c r="C411" s="9" t="s">
        <v>12</v>
      </c>
      <c r="D411" s="9" t="s">
        <v>34</v>
      </c>
      <c r="E411" t="s">
        <v>990</v>
      </c>
      <c r="F411" s="11">
        <v>31020</v>
      </c>
      <c r="G411" s="10">
        <v>744.48</v>
      </c>
      <c r="H411" s="10">
        <v>31764.48</v>
      </c>
      <c r="I411" s="9" t="s">
        <v>9</v>
      </c>
      <c r="J411" s="9" t="s">
        <v>28</v>
      </c>
      <c r="K411" s="4">
        <v>2.4E-2</v>
      </c>
      <c r="L411" t="str">
        <f>IF(pg_1[[#This Row],[Salary]]&gt;=90000, "Met minimum", "Not met minimum")</f>
        <v>Not met minimum</v>
      </c>
    </row>
    <row r="412" spans="1:12" x14ac:dyDescent="0.25">
      <c r="A412" s="8">
        <v>411</v>
      </c>
      <c r="B412" s="9" t="s">
        <v>475</v>
      </c>
      <c r="C412" s="9" t="s">
        <v>7</v>
      </c>
      <c r="D412" s="9" t="s">
        <v>37</v>
      </c>
      <c r="E412" t="s">
        <v>990</v>
      </c>
      <c r="F412" s="11">
        <v>37550</v>
      </c>
      <c r="G412" s="10">
        <v>1201.6000000000001</v>
      </c>
      <c r="H412" s="10">
        <v>38751.599999999999</v>
      </c>
      <c r="I412" s="9" t="s">
        <v>17</v>
      </c>
      <c r="J412" s="9" t="s">
        <v>28</v>
      </c>
      <c r="K412" s="4">
        <v>3.2000000000000001E-2</v>
      </c>
      <c r="L412" t="str">
        <f>IF(pg_1[[#This Row],[Salary]]&gt;=90000, "Met minimum", "Not met minimum")</f>
        <v>Not met minimum</v>
      </c>
    </row>
    <row r="413" spans="1:12" x14ac:dyDescent="0.25">
      <c r="A413" s="8">
        <v>412</v>
      </c>
      <c r="B413" s="9" t="s">
        <v>476</v>
      </c>
      <c r="C413" s="9" t="s">
        <v>7</v>
      </c>
      <c r="D413" s="9" t="s">
        <v>23</v>
      </c>
      <c r="E413" t="s">
        <v>991</v>
      </c>
      <c r="F413" s="11">
        <v>118840</v>
      </c>
      <c r="G413" s="10">
        <v>0</v>
      </c>
      <c r="H413" s="10">
        <v>118840</v>
      </c>
      <c r="I413" s="9" t="s">
        <v>17</v>
      </c>
      <c r="J413" s="9" t="s">
        <v>18</v>
      </c>
      <c r="K413" s="4">
        <v>0</v>
      </c>
      <c r="L413" t="str">
        <f>IF(pg_1[[#This Row],[Salary]]&gt;=90000, "Met minimum", "Not met minimum")</f>
        <v>Met minimum</v>
      </c>
    </row>
    <row r="414" spans="1:12" x14ac:dyDescent="0.25">
      <c r="A414" s="8">
        <v>413</v>
      </c>
      <c r="B414" s="9" t="s">
        <v>477</v>
      </c>
      <c r="C414" s="9" t="s">
        <v>7</v>
      </c>
      <c r="D414" s="9" t="s">
        <v>27</v>
      </c>
      <c r="E414" t="s">
        <v>992</v>
      </c>
      <c r="F414" s="11">
        <v>79570</v>
      </c>
      <c r="G414" s="10">
        <v>2148.39</v>
      </c>
      <c r="H414" s="10">
        <v>81718.39</v>
      </c>
      <c r="I414" s="9" t="s">
        <v>21</v>
      </c>
      <c r="J414" s="9" t="s">
        <v>28</v>
      </c>
      <c r="K414" s="4">
        <v>2.7E-2</v>
      </c>
      <c r="L414" t="str">
        <f>IF(pg_1[[#This Row],[Salary]]&gt;=90000, "Met minimum", "Not met minimum")</f>
        <v>Not met minimum</v>
      </c>
    </row>
    <row r="415" spans="1:12" x14ac:dyDescent="0.25">
      <c r="A415" s="8">
        <v>414</v>
      </c>
      <c r="B415" s="9" t="s">
        <v>478</v>
      </c>
      <c r="C415" s="9" t="s">
        <v>12</v>
      </c>
      <c r="D415" s="9" t="s">
        <v>34</v>
      </c>
      <c r="E415" t="s">
        <v>994</v>
      </c>
      <c r="F415" s="11">
        <v>94050</v>
      </c>
      <c r="G415" s="10">
        <v>0</v>
      </c>
      <c r="H415" s="10">
        <v>94050</v>
      </c>
      <c r="I415" s="9" t="s">
        <v>9</v>
      </c>
      <c r="J415" s="9" t="s">
        <v>18</v>
      </c>
      <c r="K415" s="4">
        <v>0</v>
      </c>
      <c r="L415" t="str">
        <f>IF(pg_1[[#This Row],[Salary]]&gt;=90000, "Met minimum", "Not met minimum")</f>
        <v>Met minimum</v>
      </c>
    </row>
    <row r="416" spans="1:12" x14ac:dyDescent="0.25">
      <c r="A416" s="8">
        <v>415</v>
      </c>
      <c r="B416" s="9" t="s">
        <v>479</v>
      </c>
      <c r="C416" s="9" t="s">
        <v>7</v>
      </c>
      <c r="D416" s="9" t="s">
        <v>37</v>
      </c>
      <c r="E416" t="s">
        <v>985</v>
      </c>
      <c r="F416" s="11">
        <v>81260</v>
      </c>
      <c r="G416" s="10">
        <v>2600.3200000000002</v>
      </c>
      <c r="H416" s="10">
        <v>83860.320000000007</v>
      </c>
      <c r="I416" s="9" t="s">
        <v>17</v>
      </c>
      <c r="J416" s="9" t="s">
        <v>28</v>
      </c>
      <c r="K416" s="4">
        <v>3.2000000000000001E-2</v>
      </c>
      <c r="L416" t="str">
        <f>IF(pg_1[[#This Row],[Salary]]&gt;=90000, "Met minimum", "Not met minimum")</f>
        <v>Not met minimum</v>
      </c>
    </row>
    <row r="417" spans="1:12" x14ac:dyDescent="0.25">
      <c r="A417" s="8">
        <v>416</v>
      </c>
      <c r="B417" s="9" t="s">
        <v>480</v>
      </c>
      <c r="C417" s="9" t="s">
        <v>7</v>
      </c>
      <c r="D417" s="9" t="s">
        <v>23</v>
      </c>
      <c r="E417" t="s">
        <v>990</v>
      </c>
      <c r="F417" s="11">
        <v>36710</v>
      </c>
      <c r="G417" s="10">
        <v>1027.8800000000001</v>
      </c>
      <c r="H417" s="10">
        <v>37737.879999999997</v>
      </c>
      <c r="I417" s="9" t="s">
        <v>17</v>
      </c>
      <c r="J417" s="9" t="s">
        <v>28</v>
      </c>
      <c r="K417" s="4">
        <v>2.8000000000000001E-2</v>
      </c>
      <c r="L417" t="str">
        <f>IF(pg_1[[#This Row],[Salary]]&gt;=90000, "Met minimum", "Not met minimum")</f>
        <v>Not met minimum</v>
      </c>
    </row>
    <row r="418" spans="1:12" x14ac:dyDescent="0.25">
      <c r="A418" s="8">
        <v>417</v>
      </c>
      <c r="B418" s="9" t="s">
        <v>481</v>
      </c>
      <c r="C418" s="9" t="s">
        <v>12</v>
      </c>
      <c r="D418" s="9" t="s">
        <v>8</v>
      </c>
      <c r="E418" t="s">
        <v>994</v>
      </c>
      <c r="F418" s="11">
        <v>98360</v>
      </c>
      <c r="G418" s="10">
        <v>491.8</v>
      </c>
      <c r="H418" s="10">
        <v>98851.8</v>
      </c>
      <c r="I418" s="9" t="s">
        <v>17</v>
      </c>
      <c r="J418" s="9" t="s">
        <v>51</v>
      </c>
      <c r="K418" s="4">
        <v>5.0000000000000001E-3</v>
      </c>
      <c r="L418" t="str">
        <f>IF(pg_1[[#This Row],[Salary]]&gt;=90000, "Met minimum", "Not met minimum")</f>
        <v>Met minimum</v>
      </c>
    </row>
    <row r="419" spans="1:12" x14ac:dyDescent="0.25">
      <c r="A419" s="8">
        <v>418</v>
      </c>
      <c r="B419" s="9" t="s">
        <v>482</v>
      </c>
      <c r="C419" s="9" t="s">
        <v>12</v>
      </c>
      <c r="D419" s="9" t="s">
        <v>27</v>
      </c>
      <c r="E419" t="s">
        <v>990</v>
      </c>
      <c r="F419" s="11">
        <v>39680</v>
      </c>
      <c r="G419" s="10">
        <v>515.84</v>
      </c>
      <c r="H419" s="10">
        <v>40195.839999999997</v>
      </c>
      <c r="I419" s="9" t="s">
        <v>17</v>
      </c>
      <c r="J419" s="9" t="s">
        <v>24</v>
      </c>
      <c r="K419" s="4">
        <v>1.2999999999999999E-2</v>
      </c>
      <c r="L419" t="str">
        <f>IF(pg_1[[#This Row],[Salary]]&gt;=90000, "Met minimum", "Not met minimum")</f>
        <v>Not met minimum</v>
      </c>
    </row>
    <row r="420" spans="1:12" x14ac:dyDescent="0.25">
      <c r="A420" s="8">
        <v>419</v>
      </c>
      <c r="B420" s="9" t="s">
        <v>483</v>
      </c>
      <c r="C420" s="9" t="s">
        <v>7</v>
      </c>
      <c r="D420" s="9" t="s">
        <v>8</v>
      </c>
      <c r="E420" t="s">
        <v>988</v>
      </c>
      <c r="F420" s="11">
        <v>101390</v>
      </c>
      <c r="G420" s="10">
        <v>5170.8899999999994</v>
      </c>
      <c r="H420" s="10">
        <v>106560.89</v>
      </c>
      <c r="I420" s="9" t="s">
        <v>21</v>
      </c>
      <c r="J420" s="9" t="s">
        <v>14</v>
      </c>
      <c r="K420" s="4">
        <v>5.0999999999999997E-2</v>
      </c>
      <c r="L420" t="str">
        <f>IF(pg_1[[#This Row],[Salary]]&gt;=90000, "Met minimum", "Not met minimum")</f>
        <v>Met minimum</v>
      </c>
    </row>
    <row r="421" spans="1:12" x14ac:dyDescent="0.25">
      <c r="A421" s="8">
        <v>420</v>
      </c>
      <c r="B421" s="9" t="s">
        <v>484</v>
      </c>
      <c r="C421" s="9" t="s">
        <v>12</v>
      </c>
      <c r="D421" s="9" t="s">
        <v>34</v>
      </c>
      <c r="E421" t="s">
        <v>985</v>
      </c>
      <c r="F421" s="11">
        <v>80700</v>
      </c>
      <c r="G421" s="10">
        <v>4035</v>
      </c>
      <c r="H421" s="10">
        <v>84735</v>
      </c>
      <c r="I421" s="9" t="s">
        <v>17</v>
      </c>
      <c r="J421" s="9" t="s">
        <v>14</v>
      </c>
      <c r="K421" s="4">
        <v>0.05</v>
      </c>
      <c r="L421" t="str">
        <f>IF(pg_1[[#This Row],[Salary]]&gt;=90000, "Met minimum", "Not met minimum")</f>
        <v>Not met minimum</v>
      </c>
    </row>
    <row r="422" spans="1:12" x14ac:dyDescent="0.25">
      <c r="A422" s="8">
        <v>421</v>
      </c>
      <c r="B422" s="9" t="s">
        <v>485</v>
      </c>
      <c r="C422" s="9" t="s">
        <v>12</v>
      </c>
      <c r="D422" s="9" t="s">
        <v>8</v>
      </c>
      <c r="E422" t="s">
        <v>992</v>
      </c>
      <c r="F422" s="11">
        <v>78020</v>
      </c>
      <c r="G422" s="10">
        <v>1638.42</v>
      </c>
      <c r="H422" s="10">
        <v>79658.42</v>
      </c>
      <c r="I422" s="9" t="s">
        <v>9</v>
      </c>
      <c r="J422" s="9" t="s">
        <v>28</v>
      </c>
      <c r="K422" s="4">
        <v>2.1000000000000001E-2</v>
      </c>
      <c r="L422" t="str">
        <f>IF(pg_1[[#This Row],[Salary]]&gt;=90000, "Met minimum", "Not met minimum")</f>
        <v>Not met minimum</v>
      </c>
    </row>
    <row r="423" spans="1:12" x14ac:dyDescent="0.25">
      <c r="A423" s="8">
        <v>422</v>
      </c>
      <c r="B423" s="9" t="s">
        <v>486</v>
      </c>
      <c r="C423" s="9" t="s">
        <v>7</v>
      </c>
      <c r="D423" s="9" t="s">
        <v>23</v>
      </c>
      <c r="E423" t="s">
        <v>991</v>
      </c>
      <c r="F423" s="11">
        <v>115490</v>
      </c>
      <c r="G423" s="10">
        <v>1154.9000000000001</v>
      </c>
      <c r="H423" s="10">
        <v>116644.9</v>
      </c>
      <c r="I423" s="9" t="s">
        <v>17</v>
      </c>
      <c r="J423" s="9" t="s">
        <v>24</v>
      </c>
      <c r="K423" s="4">
        <v>0.01</v>
      </c>
      <c r="L423" t="str">
        <f>IF(pg_1[[#This Row],[Salary]]&gt;=90000, "Met minimum", "Not met minimum")</f>
        <v>Met minimum</v>
      </c>
    </row>
    <row r="424" spans="1:12" x14ac:dyDescent="0.25">
      <c r="A424" s="8">
        <v>423</v>
      </c>
      <c r="B424" s="9" t="s">
        <v>488</v>
      </c>
      <c r="C424" s="9" t="s">
        <v>7</v>
      </c>
      <c r="D424" s="9" t="s">
        <v>37</v>
      </c>
      <c r="E424" t="s">
        <v>991</v>
      </c>
      <c r="F424" s="11">
        <v>111910</v>
      </c>
      <c r="G424" s="10">
        <v>4588.3100000000004</v>
      </c>
      <c r="H424" s="10">
        <v>116498.31</v>
      </c>
      <c r="I424" s="9" t="s">
        <v>17</v>
      </c>
      <c r="J424" s="9" t="s">
        <v>14</v>
      </c>
      <c r="K424" s="4">
        <v>4.1000000000000002E-2</v>
      </c>
      <c r="L424" t="str">
        <f>IF(pg_1[[#This Row],[Salary]]&gt;=90000, "Met minimum", "Not met minimum")</f>
        <v>Met minimum</v>
      </c>
    </row>
    <row r="425" spans="1:12" x14ac:dyDescent="0.25">
      <c r="A425" s="8">
        <v>424</v>
      </c>
      <c r="B425" s="9" t="s">
        <v>489</v>
      </c>
      <c r="C425" s="9" t="s">
        <v>12</v>
      </c>
      <c r="D425" s="9" t="s">
        <v>31</v>
      </c>
      <c r="E425" t="s">
        <v>988</v>
      </c>
      <c r="F425" s="11">
        <v>109050</v>
      </c>
      <c r="G425" s="10">
        <v>2508.15</v>
      </c>
      <c r="H425" s="10">
        <v>111558.15</v>
      </c>
      <c r="I425" s="9" t="s">
        <v>21</v>
      </c>
      <c r="J425" s="9" t="s">
        <v>28</v>
      </c>
      <c r="K425" s="4">
        <v>2.3E-2</v>
      </c>
      <c r="L425" t="str">
        <f>IF(pg_1[[#This Row],[Salary]]&gt;=90000, "Met minimum", "Not met minimum")</f>
        <v>Met minimum</v>
      </c>
    </row>
    <row r="426" spans="1:12" x14ac:dyDescent="0.25">
      <c r="A426" s="8">
        <v>425</v>
      </c>
      <c r="B426" s="9" t="s">
        <v>490</v>
      </c>
      <c r="C426" s="9" t="s">
        <v>7</v>
      </c>
      <c r="D426" s="9" t="s">
        <v>31</v>
      </c>
      <c r="E426" t="s">
        <v>988</v>
      </c>
      <c r="F426" s="11">
        <v>109380</v>
      </c>
      <c r="G426" s="10">
        <v>2515.7399999999998</v>
      </c>
      <c r="H426" s="10">
        <v>111895.74</v>
      </c>
      <c r="I426" s="9" t="s">
        <v>21</v>
      </c>
      <c r="J426" s="9" t="s">
        <v>28</v>
      </c>
      <c r="K426" s="4">
        <v>2.3E-2</v>
      </c>
      <c r="L426" t="str">
        <f>IF(pg_1[[#This Row],[Salary]]&gt;=90000, "Met minimum", "Not met minimum")</f>
        <v>Met minimum</v>
      </c>
    </row>
    <row r="427" spans="1:12" x14ac:dyDescent="0.25">
      <c r="A427" s="8">
        <v>426</v>
      </c>
      <c r="B427" s="9" t="s">
        <v>491</v>
      </c>
      <c r="C427" s="9" t="s">
        <v>7</v>
      </c>
      <c r="D427" s="9" t="s">
        <v>50</v>
      </c>
      <c r="E427" t="s">
        <v>986</v>
      </c>
      <c r="F427" s="11">
        <v>69710</v>
      </c>
      <c r="G427" s="10">
        <v>2300.4300000000003</v>
      </c>
      <c r="H427" s="10">
        <v>72010.429999999993</v>
      </c>
      <c r="I427" s="9" t="s">
        <v>21</v>
      </c>
      <c r="J427" s="9" t="s">
        <v>28</v>
      </c>
      <c r="K427" s="4">
        <v>3.3000000000000002E-2</v>
      </c>
      <c r="L427" t="str">
        <f>IF(pg_1[[#This Row],[Salary]]&gt;=90000, "Met minimum", "Not met minimum")</f>
        <v>Not met minimum</v>
      </c>
    </row>
    <row r="428" spans="1:12" x14ac:dyDescent="0.25">
      <c r="A428" s="8">
        <v>427</v>
      </c>
      <c r="B428" s="9" t="s">
        <v>492</v>
      </c>
      <c r="C428" s="9" t="s">
        <v>12</v>
      </c>
      <c r="D428" s="9" t="s">
        <v>23</v>
      </c>
      <c r="E428" t="s">
        <v>993</v>
      </c>
      <c r="F428" s="11">
        <v>30000</v>
      </c>
      <c r="G428" s="10">
        <v>840</v>
      </c>
      <c r="H428" s="10">
        <v>30840</v>
      </c>
      <c r="I428" s="9" t="s">
        <v>21</v>
      </c>
      <c r="J428" s="9" t="s">
        <v>28</v>
      </c>
      <c r="K428" s="4">
        <v>2.8000000000000001E-2</v>
      </c>
      <c r="L428" t="str">
        <f>IF(pg_1[[#This Row],[Salary]]&gt;=90000, "Met minimum", "Not met minimum")</f>
        <v>Not met minimum</v>
      </c>
    </row>
    <row r="429" spans="1:12" x14ac:dyDescent="0.25">
      <c r="A429" s="8">
        <v>428</v>
      </c>
      <c r="B429" s="9" t="s">
        <v>493</v>
      </c>
      <c r="C429" s="9" t="s">
        <v>7</v>
      </c>
      <c r="D429" s="9" t="s">
        <v>20</v>
      </c>
      <c r="E429" t="s">
        <v>987</v>
      </c>
      <c r="F429" s="11">
        <v>57620</v>
      </c>
      <c r="G429" s="10">
        <v>288.10000000000002</v>
      </c>
      <c r="H429" s="10">
        <v>57908.1</v>
      </c>
      <c r="I429" s="9" t="s">
        <v>9</v>
      </c>
      <c r="J429" s="9" t="s">
        <v>51</v>
      </c>
      <c r="K429" s="4">
        <v>5.0000000000000001E-3</v>
      </c>
      <c r="L429" t="str">
        <f>IF(pg_1[[#This Row],[Salary]]&gt;=90000, "Met minimum", "Not met minimum")</f>
        <v>Not met minimum</v>
      </c>
    </row>
    <row r="430" spans="1:12" x14ac:dyDescent="0.25">
      <c r="A430" s="8">
        <v>429</v>
      </c>
      <c r="B430" s="9" t="s">
        <v>494</v>
      </c>
      <c r="C430" s="9" t="s">
        <v>12</v>
      </c>
      <c r="D430" s="9" t="s">
        <v>42</v>
      </c>
      <c r="E430" t="s">
        <v>988</v>
      </c>
      <c r="F430" s="11">
        <v>101190</v>
      </c>
      <c r="G430" s="10">
        <v>4047.6</v>
      </c>
      <c r="H430" s="10">
        <v>105237.6</v>
      </c>
      <c r="I430" s="9" t="s">
        <v>17</v>
      </c>
      <c r="J430" s="9" t="s">
        <v>28</v>
      </c>
      <c r="K430" s="4">
        <v>0.04</v>
      </c>
      <c r="L430" t="str">
        <f>IF(pg_1[[#This Row],[Salary]]&gt;=90000, "Met minimum", "Not met minimum")</f>
        <v>Met minimum</v>
      </c>
    </row>
    <row r="431" spans="1:12" x14ac:dyDescent="0.25">
      <c r="A431" s="8">
        <v>430</v>
      </c>
      <c r="B431" s="9" t="s">
        <v>495</v>
      </c>
      <c r="C431" s="9" t="s">
        <v>12</v>
      </c>
      <c r="D431" s="9" t="s">
        <v>20</v>
      </c>
      <c r="E431" t="s">
        <v>989</v>
      </c>
      <c r="F431" s="11">
        <v>48980</v>
      </c>
      <c r="G431" s="10">
        <v>3134.7200000000003</v>
      </c>
      <c r="H431" s="10">
        <v>52114.720000000001</v>
      </c>
      <c r="I431" s="9" t="s">
        <v>17</v>
      </c>
      <c r="J431" s="9" t="s">
        <v>10</v>
      </c>
      <c r="K431" s="4">
        <v>6.4000000000000001E-2</v>
      </c>
      <c r="L431" t="str">
        <f>IF(pg_1[[#This Row],[Salary]]&gt;=90000, "Met minimum", "Not met minimum")</f>
        <v>Not met minimum</v>
      </c>
    </row>
    <row r="432" spans="1:12" x14ac:dyDescent="0.25">
      <c r="A432" s="8">
        <v>431</v>
      </c>
      <c r="B432" s="9" t="s">
        <v>496</v>
      </c>
      <c r="C432" s="9" t="s">
        <v>7</v>
      </c>
      <c r="D432" s="9" t="s">
        <v>20</v>
      </c>
      <c r="E432" t="s">
        <v>991</v>
      </c>
      <c r="F432" s="11">
        <v>115840</v>
      </c>
      <c r="G432" s="10">
        <v>0</v>
      </c>
      <c r="H432" s="10">
        <v>115840</v>
      </c>
      <c r="I432" s="9" t="s">
        <v>9</v>
      </c>
      <c r="J432" s="9" t="s">
        <v>18</v>
      </c>
      <c r="K432" s="4">
        <v>0</v>
      </c>
      <c r="L432" t="str">
        <f>IF(pg_1[[#This Row],[Salary]]&gt;=90000, "Met minimum", "Not met minimum")</f>
        <v>Met minimum</v>
      </c>
    </row>
    <row r="433" spans="1:12" x14ac:dyDescent="0.25">
      <c r="A433" s="8">
        <v>432</v>
      </c>
      <c r="B433" s="9" t="s">
        <v>498</v>
      </c>
      <c r="C433" s="9" t="s">
        <v>12</v>
      </c>
      <c r="D433" s="9" t="s">
        <v>53</v>
      </c>
      <c r="E433" t="s">
        <v>989</v>
      </c>
      <c r="F433" s="11">
        <v>45450</v>
      </c>
      <c r="G433" s="10">
        <v>3226.95</v>
      </c>
      <c r="H433" s="10">
        <v>48676.95</v>
      </c>
      <c r="I433" s="9" t="s">
        <v>21</v>
      </c>
      <c r="J433" s="9" t="s">
        <v>10</v>
      </c>
      <c r="K433" s="4">
        <v>7.0999999999999994E-2</v>
      </c>
      <c r="L433" t="str">
        <f>IF(pg_1[[#This Row],[Salary]]&gt;=90000, "Met minimum", "Not met minimum")</f>
        <v>Not met minimum</v>
      </c>
    </row>
    <row r="434" spans="1:12" x14ac:dyDescent="0.25">
      <c r="A434" s="8">
        <v>433</v>
      </c>
      <c r="B434" s="9" t="s">
        <v>499</v>
      </c>
      <c r="C434" s="9" t="s">
        <v>7</v>
      </c>
      <c r="D434" s="9" t="s">
        <v>23</v>
      </c>
      <c r="E434" t="s">
        <v>987</v>
      </c>
      <c r="F434" s="11">
        <v>54140</v>
      </c>
      <c r="G434" s="10">
        <v>1515.92</v>
      </c>
      <c r="H434" s="10">
        <v>55655.92</v>
      </c>
      <c r="I434" s="9" t="s">
        <v>17</v>
      </c>
      <c r="J434" s="9" t="s">
        <v>28</v>
      </c>
      <c r="K434" s="4">
        <v>2.8000000000000001E-2</v>
      </c>
      <c r="L434" t="str">
        <f>IF(pg_1[[#This Row],[Salary]]&gt;=90000, "Met minimum", "Not met minimum")</f>
        <v>Not met minimum</v>
      </c>
    </row>
    <row r="435" spans="1:12" x14ac:dyDescent="0.25">
      <c r="A435" s="8">
        <v>434</v>
      </c>
      <c r="B435" s="9" t="s">
        <v>500</v>
      </c>
      <c r="C435" s="9" t="s">
        <v>12</v>
      </c>
      <c r="D435" s="9" t="s">
        <v>27</v>
      </c>
      <c r="E435" t="s">
        <v>991</v>
      </c>
      <c r="F435" s="11">
        <v>117520</v>
      </c>
      <c r="G435" s="10">
        <v>3173.04</v>
      </c>
      <c r="H435" s="10">
        <v>120693.04</v>
      </c>
      <c r="I435" s="9" t="s">
        <v>21</v>
      </c>
      <c r="J435" s="9" t="s">
        <v>28</v>
      </c>
      <c r="K435" s="4">
        <v>2.7E-2</v>
      </c>
      <c r="L435" t="str">
        <f>IF(pg_1[[#This Row],[Salary]]&gt;=90000, "Met minimum", "Not met minimum")</f>
        <v>Met minimum</v>
      </c>
    </row>
    <row r="436" spans="1:12" x14ac:dyDescent="0.25">
      <c r="A436" s="8">
        <v>435</v>
      </c>
      <c r="B436" s="9" t="s">
        <v>502</v>
      </c>
      <c r="C436" s="9" t="s">
        <v>7</v>
      </c>
      <c r="D436" s="9" t="s">
        <v>53</v>
      </c>
      <c r="E436" t="s">
        <v>994</v>
      </c>
      <c r="F436" s="11">
        <v>93210</v>
      </c>
      <c r="G436" s="10">
        <v>1118.52</v>
      </c>
      <c r="H436" s="10">
        <v>94328.52</v>
      </c>
      <c r="I436" s="9" t="s">
        <v>9</v>
      </c>
      <c r="J436" s="9" t="s">
        <v>24</v>
      </c>
      <c r="K436" s="4">
        <v>1.2E-2</v>
      </c>
      <c r="L436" t="str">
        <f>IF(pg_1[[#This Row],[Salary]]&gt;=90000, "Met minimum", "Not met minimum")</f>
        <v>Met minimum</v>
      </c>
    </row>
    <row r="437" spans="1:12" x14ac:dyDescent="0.25">
      <c r="A437" s="8">
        <v>436</v>
      </c>
      <c r="B437" s="9" t="s">
        <v>503</v>
      </c>
      <c r="C437" s="9" t="s">
        <v>7</v>
      </c>
      <c r="D437" s="9" t="s">
        <v>23</v>
      </c>
      <c r="E437" t="s">
        <v>988</v>
      </c>
      <c r="F437" s="11">
        <v>104470</v>
      </c>
      <c r="G437" s="10">
        <v>0</v>
      </c>
      <c r="H437" s="10">
        <v>104470</v>
      </c>
      <c r="I437" s="9" t="s">
        <v>9</v>
      </c>
      <c r="J437" s="9" t="s">
        <v>18</v>
      </c>
      <c r="K437" s="4">
        <v>0</v>
      </c>
      <c r="L437" t="str">
        <f>IF(pg_1[[#This Row],[Salary]]&gt;=90000, "Met minimum", "Not met minimum")</f>
        <v>Met minimum</v>
      </c>
    </row>
    <row r="438" spans="1:12" x14ac:dyDescent="0.25">
      <c r="A438" s="8">
        <v>437</v>
      </c>
      <c r="B438" s="9" t="s">
        <v>504</v>
      </c>
      <c r="C438" s="9" t="s">
        <v>7</v>
      </c>
      <c r="D438" s="9" t="s">
        <v>42</v>
      </c>
      <c r="E438" t="s">
        <v>991</v>
      </c>
      <c r="F438" s="11">
        <v>110890</v>
      </c>
      <c r="G438" s="10">
        <v>2106.91</v>
      </c>
      <c r="H438" s="10">
        <v>112996.91</v>
      </c>
      <c r="I438" s="9" t="s">
        <v>17</v>
      </c>
      <c r="J438" s="9" t="s">
        <v>24</v>
      </c>
      <c r="K438" s="4">
        <v>1.9E-2</v>
      </c>
      <c r="L438" t="str">
        <f>IF(pg_1[[#This Row],[Salary]]&gt;=90000, "Met minimum", "Not met minimum")</f>
        <v>Met minimum</v>
      </c>
    </row>
    <row r="439" spans="1:12" x14ac:dyDescent="0.25">
      <c r="A439" s="8">
        <v>438</v>
      </c>
      <c r="B439" s="9" t="s">
        <v>506</v>
      </c>
      <c r="C439" s="9" t="s">
        <v>12</v>
      </c>
      <c r="D439" s="9" t="s">
        <v>42</v>
      </c>
      <c r="E439" t="s">
        <v>994</v>
      </c>
      <c r="F439" s="11">
        <v>96660</v>
      </c>
      <c r="G439" s="10">
        <v>3866.4</v>
      </c>
      <c r="H439" s="10">
        <v>100526.39999999999</v>
      </c>
      <c r="I439" s="9" t="s">
        <v>21</v>
      </c>
      <c r="J439" s="9" t="s">
        <v>28</v>
      </c>
      <c r="K439" s="4">
        <v>0.04</v>
      </c>
      <c r="L439" t="str">
        <f>IF(pg_1[[#This Row],[Salary]]&gt;=90000, "Met minimum", "Not met minimum")</f>
        <v>Met minimum</v>
      </c>
    </row>
    <row r="440" spans="1:12" x14ac:dyDescent="0.25">
      <c r="A440" s="8">
        <v>439</v>
      </c>
      <c r="B440" s="9" t="s">
        <v>507</v>
      </c>
      <c r="C440" s="9" t="s">
        <v>7</v>
      </c>
      <c r="D440" s="9" t="s">
        <v>31</v>
      </c>
      <c r="E440" t="s">
        <v>991</v>
      </c>
      <c r="F440" s="11">
        <v>118360</v>
      </c>
      <c r="G440" s="10">
        <v>2722.2799999999997</v>
      </c>
      <c r="H440" s="10">
        <v>121082.28</v>
      </c>
      <c r="I440" s="9" t="s">
        <v>21</v>
      </c>
      <c r="J440" s="9" t="s">
        <v>28</v>
      </c>
      <c r="K440" s="4">
        <v>2.3E-2</v>
      </c>
      <c r="L440" t="str">
        <f>IF(pg_1[[#This Row],[Salary]]&gt;=90000, "Met minimum", "Not met minimum")</f>
        <v>Met minimum</v>
      </c>
    </row>
    <row r="441" spans="1:12" x14ac:dyDescent="0.25">
      <c r="A441" s="8">
        <v>440</v>
      </c>
      <c r="B441" s="9" t="s">
        <v>508</v>
      </c>
      <c r="C441" s="9" t="s">
        <v>12</v>
      </c>
      <c r="D441" s="9" t="s">
        <v>23</v>
      </c>
      <c r="E441" t="s">
        <v>985</v>
      </c>
      <c r="F441" s="11">
        <v>88030</v>
      </c>
      <c r="G441" s="10">
        <v>2464.84</v>
      </c>
      <c r="H441" s="10">
        <v>90494.84</v>
      </c>
      <c r="I441" s="9" t="s">
        <v>17</v>
      </c>
      <c r="J441" s="9" t="s">
        <v>28</v>
      </c>
      <c r="K441" s="4">
        <v>2.8000000000000001E-2</v>
      </c>
      <c r="L441" t="str">
        <f>IF(pg_1[[#This Row],[Salary]]&gt;=90000, "Met minimum", "Not met minimum")</f>
        <v>Not met minimum</v>
      </c>
    </row>
    <row r="442" spans="1:12" x14ac:dyDescent="0.25">
      <c r="A442" s="8">
        <v>441</v>
      </c>
      <c r="B442" s="9" t="s">
        <v>509</v>
      </c>
      <c r="C442" s="9" t="s">
        <v>7</v>
      </c>
      <c r="D442" s="9" t="s">
        <v>37</v>
      </c>
      <c r="E442" t="s">
        <v>985</v>
      </c>
      <c r="F442" s="11">
        <v>87810</v>
      </c>
      <c r="G442" s="10">
        <v>0</v>
      </c>
      <c r="H442" s="10">
        <v>87810</v>
      </c>
      <c r="I442" s="9" t="s">
        <v>17</v>
      </c>
      <c r="J442" s="9" t="s">
        <v>18</v>
      </c>
      <c r="K442" s="4">
        <v>0</v>
      </c>
      <c r="L442" t="str">
        <f>IF(pg_1[[#This Row],[Salary]]&gt;=90000, "Met minimum", "Not met minimum")</f>
        <v>Not met minimum</v>
      </c>
    </row>
    <row r="443" spans="1:12" x14ac:dyDescent="0.25">
      <c r="A443" s="8">
        <v>442</v>
      </c>
      <c r="B443" s="9" t="s">
        <v>510</v>
      </c>
      <c r="C443" s="9" t="s">
        <v>7</v>
      </c>
      <c r="D443" s="9" t="s">
        <v>34</v>
      </c>
      <c r="E443" t="s">
        <v>987</v>
      </c>
      <c r="F443" s="11">
        <v>51520</v>
      </c>
      <c r="G443" s="10">
        <v>1236.48</v>
      </c>
      <c r="H443" s="10">
        <v>52756.480000000003</v>
      </c>
      <c r="I443" s="9" t="s">
        <v>17</v>
      </c>
      <c r="J443" s="9" t="s">
        <v>28</v>
      </c>
      <c r="K443" s="4">
        <v>2.4E-2</v>
      </c>
      <c r="L443" t="str">
        <f>IF(pg_1[[#This Row],[Salary]]&gt;=90000, "Met minimum", "Not met minimum")</f>
        <v>Not met minimum</v>
      </c>
    </row>
    <row r="444" spans="1:12" x14ac:dyDescent="0.25">
      <c r="A444" s="8">
        <v>443</v>
      </c>
      <c r="B444" s="9" t="s">
        <v>511</v>
      </c>
      <c r="C444" s="9" t="s">
        <v>7</v>
      </c>
      <c r="D444" s="9" t="s">
        <v>8</v>
      </c>
      <c r="E444" t="s">
        <v>986</v>
      </c>
      <c r="F444" s="11">
        <v>60260</v>
      </c>
      <c r="G444" s="10">
        <v>0</v>
      </c>
      <c r="H444" s="10">
        <v>60260</v>
      </c>
      <c r="I444" s="9" t="s">
        <v>17</v>
      </c>
      <c r="J444" s="9" t="s">
        <v>18</v>
      </c>
      <c r="K444" s="4">
        <v>0</v>
      </c>
      <c r="L444" t="str">
        <f>IF(pg_1[[#This Row],[Salary]]&gt;=90000, "Met minimum", "Not met minimum")</f>
        <v>Not met minimum</v>
      </c>
    </row>
    <row r="445" spans="1:12" x14ac:dyDescent="0.25">
      <c r="A445" s="8">
        <v>444</v>
      </c>
      <c r="B445" s="9" t="s">
        <v>512</v>
      </c>
      <c r="C445" s="9" t="s">
        <v>7</v>
      </c>
      <c r="D445" s="9" t="s">
        <v>23</v>
      </c>
      <c r="E445" t="s">
        <v>986</v>
      </c>
      <c r="F445" s="11">
        <v>61210</v>
      </c>
      <c r="G445" s="10">
        <v>1713.88</v>
      </c>
      <c r="H445" s="10">
        <v>62923.88</v>
      </c>
      <c r="I445" s="9" t="s">
        <v>21</v>
      </c>
      <c r="J445" s="9" t="s">
        <v>28</v>
      </c>
      <c r="K445" s="4">
        <v>2.8000000000000001E-2</v>
      </c>
      <c r="L445" t="str">
        <f>IF(pg_1[[#This Row],[Salary]]&gt;=90000, "Met minimum", "Not met minimum")</f>
        <v>Not met minimum</v>
      </c>
    </row>
    <row r="446" spans="1:12" x14ac:dyDescent="0.25">
      <c r="A446" s="8">
        <v>445</v>
      </c>
      <c r="B446" s="9" t="s">
        <v>513</v>
      </c>
      <c r="C446" s="9" t="s">
        <v>7</v>
      </c>
      <c r="D446" s="9" t="s">
        <v>50</v>
      </c>
      <c r="E446" t="s">
        <v>987</v>
      </c>
      <c r="F446" s="11">
        <v>52750</v>
      </c>
      <c r="G446" s="10">
        <v>1740.75</v>
      </c>
      <c r="H446" s="10">
        <v>54490.75</v>
      </c>
      <c r="I446" s="9" t="s">
        <v>21</v>
      </c>
      <c r="J446" s="9" t="s">
        <v>28</v>
      </c>
      <c r="K446" s="4">
        <v>3.3000000000000002E-2</v>
      </c>
      <c r="L446" t="str">
        <f>IF(pg_1[[#This Row],[Salary]]&gt;=90000, "Met minimum", "Not met minimum")</f>
        <v>Not met minimum</v>
      </c>
    </row>
    <row r="447" spans="1:12" x14ac:dyDescent="0.25">
      <c r="A447" s="8">
        <v>446</v>
      </c>
      <c r="B447" s="9" t="s">
        <v>514</v>
      </c>
      <c r="C447" s="9" t="s">
        <v>7</v>
      </c>
      <c r="D447" s="9" t="s">
        <v>37</v>
      </c>
      <c r="E447" t="s">
        <v>989</v>
      </c>
      <c r="F447" s="11">
        <v>47270</v>
      </c>
      <c r="G447" s="10">
        <v>1512.64</v>
      </c>
      <c r="H447" s="10">
        <v>48782.64</v>
      </c>
      <c r="I447" s="9" t="s">
        <v>21</v>
      </c>
      <c r="J447" s="9" t="s">
        <v>28</v>
      </c>
      <c r="K447" s="4">
        <v>3.2000000000000001E-2</v>
      </c>
      <c r="L447" t="str">
        <f>IF(pg_1[[#This Row],[Salary]]&gt;=90000, "Met minimum", "Not met minimum")</f>
        <v>Not met minimum</v>
      </c>
    </row>
    <row r="448" spans="1:12" x14ac:dyDescent="0.25">
      <c r="A448" s="8">
        <v>447</v>
      </c>
      <c r="B448" s="9" t="s">
        <v>515</v>
      </c>
      <c r="C448" s="9" t="s">
        <v>7</v>
      </c>
      <c r="D448" s="9" t="s">
        <v>8</v>
      </c>
      <c r="E448" t="s">
        <v>991</v>
      </c>
      <c r="F448" s="11">
        <v>118060</v>
      </c>
      <c r="G448" s="10">
        <v>6021.0599999999995</v>
      </c>
      <c r="H448" s="10">
        <v>124081.06</v>
      </c>
      <c r="I448" s="9" t="s">
        <v>21</v>
      </c>
      <c r="J448" s="9" t="s">
        <v>14</v>
      </c>
      <c r="K448" s="4">
        <v>5.0999999999999997E-2</v>
      </c>
      <c r="L448" t="str">
        <f>IF(pg_1[[#This Row],[Salary]]&gt;=90000, "Met minimum", "Not met minimum")</f>
        <v>Met minimum</v>
      </c>
    </row>
    <row r="449" spans="1:12" x14ac:dyDescent="0.25">
      <c r="A449" s="8">
        <v>448</v>
      </c>
      <c r="B449" s="9" t="s">
        <v>516</v>
      </c>
      <c r="C449" s="9" t="s">
        <v>7</v>
      </c>
      <c r="D449" s="9" t="s">
        <v>67</v>
      </c>
      <c r="E449" t="s">
        <v>990</v>
      </c>
      <c r="F449" s="11">
        <v>37360</v>
      </c>
      <c r="G449" s="10">
        <v>1307.6000000000001</v>
      </c>
      <c r="H449" s="10">
        <v>38667.599999999999</v>
      </c>
      <c r="I449" s="9" t="s">
        <v>9</v>
      </c>
      <c r="J449" s="9" t="s">
        <v>28</v>
      </c>
      <c r="K449" s="4">
        <v>3.5000000000000003E-2</v>
      </c>
      <c r="L449" t="str">
        <f>IF(pg_1[[#This Row],[Salary]]&gt;=90000, "Met minimum", "Not met minimum")</f>
        <v>Not met minimum</v>
      </c>
    </row>
    <row r="450" spans="1:12" x14ac:dyDescent="0.25">
      <c r="A450" s="8">
        <v>449</v>
      </c>
      <c r="B450" s="9" t="s">
        <v>517</v>
      </c>
      <c r="C450" s="9" t="s">
        <v>12</v>
      </c>
      <c r="D450" s="9" t="s">
        <v>34</v>
      </c>
      <c r="E450" t="s">
        <v>986</v>
      </c>
      <c r="F450" s="11">
        <v>66510</v>
      </c>
      <c r="G450" s="10">
        <v>1596.24</v>
      </c>
      <c r="H450" s="10">
        <v>68106.240000000005</v>
      </c>
      <c r="I450" s="9" t="s">
        <v>21</v>
      </c>
      <c r="J450" s="9" t="s">
        <v>28</v>
      </c>
      <c r="K450" s="4">
        <v>2.4E-2</v>
      </c>
      <c r="L450" t="str">
        <f>IF(pg_1[[#This Row],[Salary]]&gt;=90000, "Met minimum", "Not met minimum")</f>
        <v>Not met minimum</v>
      </c>
    </row>
    <row r="451" spans="1:12" x14ac:dyDescent="0.25">
      <c r="A451" s="8">
        <v>450</v>
      </c>
      <c r="B451" s="9" t="s">
        <v>518</v>
      </c>
      <c r="C451" s="9" t="s">
        <v>12</v>
      </c>
      <c r="D451" s="9" t="s">
        <v>67</v>
      </c>
      <c r="E451" t="s">
        <v>993</v>
      </c>
      <c r="F451" s="11">
        <v>29530</v>
      </c>
      <c r="G451" s="10">
        <v>147.65</v>
      </c>
      <c r="H451" s="10">
        <v>29677.65</v>
      </c>
      <c r="I451" s="9" t="s">
        <v>21</v>
      </c>
      <c r="J451" s="9" t="s">
        <v>51</v>
      </c>
      <c r="K451" s="4">
        <v>5.0000000000000001E-3</v>
      </c>
      <c r="L451" t="str">
        <f>IF(pg_1[[#This Row],[Salary]]&gt;=90000, "Met minimum", "Not met minimum")</f>
        <v>Not met minimum</v>
      </c>
    </row>
    <row r="452" spans="1:12" x14ac:dyDescent="0.25">
      <c r="A452" s="8">
        <v>451</v>
      </c>
      <c r="B452" s="9" t="s">
        <v>519</v>
      </c>
      <c r="C452" s="9" t="s">
        <v>12</v>
      </c>
      <c r="D452" s="9" t="s">
        <v>50</v>
      </c>
      <c r="E452" t="s">
        <v>986</v>
      </c>
      <c r="F452" s="11">
        <v>60440</v>
      </c>
      <c r="G452" s="10">
        <v>5076.96</v>
      </c>
      <c r="H452" s="10">
        <v>65516.959999999999</v>
      </c>
      <c r="I452" s="9" t="s">
        <v>9</v>
      </c>
      <c r="J452" s="9" t="s">
        <v>10</v>
      </c>
      <c r="K452" s="4">
        <v>8.4000000000000005E-2</v>
      </c>
      <c r="L452" t="str">
        <f>IF(pg_1[[#This Row],[Salary]]&gt;=90000, "Met minimum", "Not met minimum")</f>
        <v>Not met minimum</v>
      </c>
    </row>
    <row r="453" spans="1:12" x14ac:dyDescent="0.25">
      <c r="A453" s="8">
        <v>452</v>
      </c>
      <c r="B453" s="9" t="s">
        <v>520</v>
      </c>
      <c r="C453" s="9" t="s">
        <v>7</v>
      </c>
      <c r="D453" s="9" t="s">
        <v>13</v>
      </c>
      <c r="E453" t="s">
        <v>994</v>
      </c>
      <c r="F453" s="11">
        <v>90530</v>
      </c>
      <c r="G453" s="10">
        <v>452.65000000000003</v>
      </c>
      <c r="H453" s="10">
        <v>90982.65</v>
      </c>
      <c r="I453" s="9" t="s">
        <v>9</v>
      </c>
      <c r="J453" s="9" t="s">
        <v>51</v>
      </c>
      <c r="K453" s="4">
        <v>5.0000000000000001E-3</v>
      </c>
      <c r="L453" t="str">
        <f>IF(pg_1[[#This Row],[Salary]]&gt;=90000, "Met minimum", "Not met minimum")</f>
        <v>Met minimum</v>
      </c>
    </row>
    <row r="454" spans="1:12" x14ac:dyDescent="0.25">
      <c r="A454" s="8">
        <v>453</v>
      </c>
      <c r="B454" s="9" t="s">
        <v>521</v>
      </c>
      <c r="C454" s="9" t="s">
        <v>7</v>
      </c>
      <c r="D454" s="9" t="s">
        <v>42</v>
      </c>
      <c r="E454" t="s">
        <v>986</v>
      </c>
      <c r="F454" s="11">
        <v>67950</v>
      </c>
      <c r="G454" s="10">
        <v>4280.8500000000004</v>
      </c>
      <c r="H454" s="10">
        <v>72230.850000000006</v>
      </c>
      <c r="I454" s="9" t="s">
        <v>21</v>
      </c>
      <c r="J454" s="9" t="s">
        <v>10</v>
      </c>
      <c r="K454" s="4">
        <v>6.3E-2</v>
      </c>
      <c r="L454" t="str">
        <f>IF(pg_1[[#This Row],[Salary]]&gt;=90000, "Met minimum", "Not met minimum")</f>
        <v>Not met minimum</v>
      </c>
    </row>
    <row r="455" spans="1:12" x14ac:dyDescent="0.25">
      <c r="A455" s="8">
        <v>454</v>
      </c>
      <c r="B455" s="9" t="s">
        <v>522</v>
      </c>
      <c r="C455" s="9" t="s">
        <v>7</v>
      </c>
      <c r="D455" s="9" t="s">
        <v>53</v>
      </c>
      <c r="E455" t="s">
        <v>988</v>
      </c>
      <c r="F455" s="11">
        <v>105120</v>
      </c>
      <c r="G455" s="10">
        <v>2102.4</v>
      </c>
      <c r="H455" s="10">
        <v>107222.39999999999</v>
      </c>
      <c r="I455" s="9" t="s">
        <v>21</v>
      </c>
      <c r="J455" s="9" t="s">
        <v>28</v>
      </c>
      <c r="K455" s="4">
        <v>0.02</v>
      </c>
      <c r="L455" t="str">
        <f>IF(pg_1[[#This Row],[Salary]]&gt;=90000, "Met minimum", "Not met minimum")</f>
        <v>Met minimum</v>
      </c>
    </row>
    <row r="456" spans="1:12" x14ac:dyDescent="0.25">
      <c r="A456" s="8">
        <v>455</v>
      </c>
      <c r="B456" s="9" t="s">
        <v>523</v>
      </c>
      <c r="C456" s="9" t="s">
        <v>7</v>
      </c>
      <c r="D456" s="9" t="s">
        <v>42</v>
      </c>
      <c r="E456" t="s">
        <v>986</v>
      </c>
      <c r="F456" s="11">
        <v>60570</v>
      </c>
      <c r="G456" s="10">
        <v>3573.6299999999997</v>
      </c>
      <c r="H456" s="10">
        <v>64143.63</v>
      </c>
      <c r="I456" s="9" t="s">
        <v>9</v>
      </c>
      <c r="J456" s="9" t="s">
        <v>14</v>
      </c>
      <c r="K456" s="4">
        <v>5.8999999999999997E-2</v>
      </c>
      <c r="L456" t="str">
        <f>IF(pg_1[[#This Row],[Salary]]&gt;=90000, "Met minimum", "Not met minimum")</f>
        <v>Not met minimum</v>
      </c>
    </row>
    <row r="457" spans="1:12" x14ac:dyDescent="0.25">
      <c r="A457" s="8">
        <v>456</v>
      </c>
      <c r="B457" s="9" t="s">
        <v>524</v>
      </c>
      <c r="C457" s="9" t="s">
        <v>12</v>
      </c>
      <c r="D457" s="9" t="s">
        <v>42</v>
      </c>
      <c r="E457" t="s">
        <v>991</v>
      </c>
      <c r="F457" s="11">
        <v>119110</v>
      </c>
      <c r="G457" s="10">
        <v>7027.49</v>
      </c>
      <c r="H457" s="10">
        <v>126137.49</v>
      </c>
      <c r="I457" s="9" t="s">
        <v>21</v>
      </c>
      <c r="J457" s="9" t="s">
        <v>14</v>
      </c>
      <c r="K457" s="4">
        <v>5.8999999999999997E-2</v>
      </c>
      <c r="L457" t="str">
        <f>IF(pg_1[[#This Row],[Salary]]&gt;=90000, "Met minimum", "Not met minimum")</f>
        <v>Met minimum</v>
      </c>
    </row>
    <row r="458" spans="1:12" x14ac:dyDescent="0.25">
      <c r="A458" s="8">
        <v>457</v>
      </c>
      <c r="B458" s="9" t="s">
        <v>525</v>
      </c>
      <c r="C458" s="9" t="s">
        <v>7</v>
      </c>
      <c r="D458" s="9" t="s">
        <v>31</v>
      </c>
      <c r="E458" t="s">
        <v>988</v>
      </c>
      <c r="F458" s="11">
        <v>104770</v>
      </c>
      <c r="G458" s="10">
        <v>1571.55</v>
      </c>
      <c r="H458" s="10">
        <v>106341.55</v>
      </c>
      <c r="I458" s="9" t="s">
        <v>21</v>
      </c>
      <c r="J458" s="9" t="s">
        <v>24</v>
      </c>
      <c r="K458" s="4">
        <v>1.4999999999999999E-2</v>
      </c>
      <c r="L458" t="str">
        <f>IF(pg_1[[#This Row],[Salary]]&gt;=90000, "Met minimum", "Not met minimum")</f>
        <v>Met minimum</v>
      </c>
    </row>
    <row r="459" spans="1:12" x14ac:dyDescent="0.25">
      <c r="A459" s="8">
        <v>458</v>
      </c>
      <c r="B459" s="9" t="s">
        <v>526</v>
      </c>
      <c r="C459" s="9" t="s">
        <v>7</v>
      </c>
      <c r="D459" s="9" t="s">
        <v>8</v>
      </c>
      <c r="E459" t="s">
        <v>992</v>
      </c>
      <c r="F459" s="11">
        <v>70360</v>
      </c>
      <c r="G459" s="10">
        <v>1477.5600000000002</v>
      </c>
      <c r="H459" s="10">
        <v>71837.56</v>
      </c>
      <c r="I459" s="9" t="s">
        <v>9</v>
      </c>
      <c r="J459" s="9" t="s">
        <v>28</v>
      </c>
      <c r="K459" s="4">
        <v>2.1000000000000001E-2</v>
      </c>
      <c r="L459" t="str">
        <f>IF(pg_1[[#This Row],[Salary]]&gt;=90000, "Met minimum", "Not met minimum")</f>
        <v>Not met minimum</v>
      </c>
    </row>
    <row r="460" spans="1:12" x14ac:dyDescent="0.25">
      <c r="A460" s="8">
        <v>459</v>
      </c>
      <c r="B460" s="9" t="s">
        <v>527</v>
      </c>
      <c r="C460" s="9" t="s">
        <v>12</v>
      </c>
      <c r="D460" s="9" t="s">
        <v>23</v>
      </c>
      <c r="E460" t="s">
        <v>989</v>
      </c>
      <c r="F460" s="11">
        <v>45110</v>
      </c>
      <c r="G460" s="10">
        <v>0</v>
      </c>
      <c r="H460" s="10">
        <v>45110</v>
      </c>
      <c r="I460" s="9" t="s">
        <v>17</v>
      </c>
      <c r="J460" s="9" t="s">
        <v>18</v>
      </c>
      <c r="K460" s="4">
        <v>0</v>
      </c>
      <c r="L460" t="str">
        <f>IF(pg_1[[#This Row],[Salary]]&gt;=90000, "Met minimum", "Not met minimum")</f>
        <v>Not met minimum</v>
      </c>
    </row>
    <row r="461" spans="1:12" x14ac:dyDescent="0.25">
      <c r="A461" s="8">
        <v>460</v>
      </c>
      <c r="B461" s="9" t="s">
        <v>530</v>
      </c>
      <c r="C461" s="9" t="s">
        <v>12</v>
      </c>
      <c r="D461" s="9" t="s">
        <v>34</v>
      </c>
      <c r="E461" t="s">
        <v>990</v>
      </c>
      <c r="F461" s="11">
        <v>33630</v>
      </c>
      <c r="G461" s="10">
        <v>605.33999999999992</v>
      </c>
      <c r="H461" s="10">
        <v>34235.339999999997</v>
      </c>
      <c r="I461" s="9" t="s">
        <v>17</v>
      </c>
      <c r="J461" s="9" t="s">
        <v>24</v>
      </c>
      <c r="K461" s="4">
        <v>1.7999999999999999E-2</v>
      </c>
      <c r="L461" t="str">
        <f>IF(pg_1[[#This Row],[Salary]]&gt;=90000, "Met minimum", "Not met minimum")</f>
        <v>Not met minimum</v>
      </c>
    </row>
    <row r="462" spans="1:12" x14ac:dyDescent="0.25">
      <c r="A462" s="8">
        <v>461</v>
      </c>
      <c r="B462" s="9" t="s">
        <v>531</v>
      </c>
      <c r="C462" s="9" t="s">
        <v>7</v>
      </c>
      <c r="D462" s="9" t="s">
        <v>42</v>
      </c>
      <c r="E462" t="s">
        <v>987</v>
      </c>
      <c r="F462" s="11">
        <v>53870</v>
      </c>
      <c r="G462" s="10">
        <v>3178.33</v>
      </c>
      <c r="H462" s="10">
        <v>57048.33</v>
      </c>
      <c r="I462" s="9" t="s">
        <v>17</v>
      </c>
      <c r="J462" s="9" t="s">
        <v>14</v>
      </c>
      <c r="K462" s="4">
        <v>5.8999999999999997E-2</v>
      </c>
      <c r="L462" t="str">
        <f>IF(pg_1[[#This Row],[Salary]]&gt;=90000, "Met minimum", "Not met minimum")</f>
        <v>Not met minimum</v>
      </c>
    </row>
    <row r="463" spans="1:12" x14ac:dyDescent="0.25">
      <c r="A463" s="8">
        <v>462</v>
      </c>
      <c r="B463" s="9" t="s">
        <v>532</v>
      </c>
      <c r="C463" s="9" t="s">
        <v>12</v>
      </c>
      <c r="D463" s="9" t="s">
        <v>13</v>
      </c>
      <c r="E463" t="s">
        <v>991</v>
      </c>
      <c r="F463" s="11">
        <v>111190</v>
      </c>
      <c r="G463" s="10">
        <v>3891.6500000000005</v>
      </c>
      <c r="H463" s="10">
        <v>115081.65</v>
      </c>
      <c r="I463" s="9" t="s">
        <v>9</v>
      </c>
      <c r="J463" s="9" t="s">
        <v>28</v>
      </c>
      <c r="K463" s="4">
        <v>3.5000000000000003E-2</v>
      </c>
      <c r="L463" t="str">
        <f>IF(pg_1[[#This Row],[Salary]]&gt;=90000, "Met minimum", "Not met minimum")</f>
        <v>Met minimum</v>
      </c>
    </row>
    <row r="464" spans="1:12" x14ac:dyDescent="0.25">
      <c r="A464" s="8">
        <v>463</v>
      </c>
      <c r="B464" s="9" t="s">
        <v>533</v>
      </c>
      <c r="C464" s="9" t="s">
        <v>12</v>
      </c>
      <c r="D464" s="9" t="s">
        <v>20</v>
      </c>
      <c r="E464" t="s">
        <v>993</v>
      </c>
      <c r="F464" s="11">
        <v>29970</v>
      </c>
      <c r="G464" s="10">
        <v>629.37</v>
      </c>
      <c r="H464" s="10">
        <v>30599.37</v>
      </c>
      <c r="I464" s="9" t="s">
        <v>21</v>
      </c>
      <c r="J464" s="9" t="s">
        <v>28</v>
      </c>
      <c r="K464" s="4">
        <v>2.1000000000000001E-2</v>
      </c>
      <c r="L464" t="str">
        <f>IF(pg_1[[#This Row],[Salary]]&gt;=90000, "Met minimum", "Not met minimum")</f>
        <v>Not met minimum</v>
      </c>
    </row>
    <row r="465" spans="1:12" x14ac:dyDescent="0.25">
      <c r="A465" s="8">
        <v>464</v>
      </c>
      <c r="B465" s="9" t="s">
        <v>534</v>
      </c>
      <c r="C465" s="9" t="s">
        <v>7</v>
      </c>
      <c r="D465" s="9" t="s">
        <v>23</v>
      </c>
      <c r="E465" t="s">
        <v>986</v>
      </c>
      <c r="F465" s="11">
        <v>64960</v>
      </c>
      <c r="G465" s="10">
        <v>1818.88</v>
      </c>
      <c r="H465" s="10">
        <v>66778.880000000005</v>
      </c>
      <c r="I465" s="9" t="s">
        <v>9</v>
      </c>
      <c r="J465" s="9" t="s">
        <v>28</v>
      </c>
      <c r="K465" s="4">
        <v>2.8000000000000001E-2</v>
      </c>
      <c r="L465" t="str">
        <f>IF(pg_1[[#This Row],[Salary]]&gt;=90000, "Met minimum", "Not met minimum")</f>
        <v>Not met minimum</v>
      </c>
    </row>
    <row r="466" spans="1:12" x14ac:dyDescent="0.25">
      <c r="A466" s="8">
        <v>465</v>
      </c>
      <c r="B466" s="9" t="s">
        <v>535</v>
      </c>
      <c r="C466" s="9" t="s">
        <v>7</v>
      </c>
      <c r="D466" s="9" t="s">
        <v>37</v>
      </c>
      <c r="E466" t="s">
        <v>991</v>
      </c>
      <c r="F466" s="11">
        <v>111230</v>
      </c>
      <c r="G466" s="10">
        <v>3559.36</v>
      </c>
      <c r="H466" s="10">
        <v>114789.36</v>
      </c>
      <c r="I466" s="9" t="s">
        <v>17</v>
      </c>
      <c r="J466" s="9" t="s">
        <v>28</v>
      </c>
      <c r="K466" s="4">
        <v>3.2000000000000001E-2</v>
      </c>
      <c r="L466" t="str">
        <f>IF(pg_1[[#This Row],[Salary]]&gt;=90000, "Met minimum", "Not met minimum")</f>
        <v>Met minimum</v>
      </c>
    </row>
    <row r="467" spans="1:12" x14ac:dyDescent="0.25">
      <c r="A467" s="8">
        <v>466</v>
      </c>
      <c r="B467" s="9" t="s">
        <v>536</v>
      </c>
      <c r="C467" s="9" t="s">
        <v>12</v>
      </c>
      <c r="D467" s="9" t="s">
        <v>8</v>
      </c>
      <c r="E467" t="s">
        <v>994</v>
      </c>
      <c r="F467" s="11">
        <v>99530</v>
      </c>
      <c r="G467" s="10">
        <v>2090.13</v>
      </c>
      <c r="H467" s="10">
        <v>101620.13</v>
      </c>
      <c r="I467" s="9" t="s">
        <v>17</v>
      </c>
      <c r="J467" s="9" t="s">
        <v>28</v>
      </c>
      <c r="K467" s="4">
        <v>2.1000000000000001E-2</v>
      </c>
      <c r="L467" t="str">
        <f>IF(pg_1[[#This Row],[Salary]]&gt;=90000, "Met minimum", "Not met minimum")</f>
        <v>Met minimum</v>
      </c>
    </row>
    <row r="468" spans="1:12" x14ac:dyDescent="0.25">
      <c r="A468" s="8">
        <v>467</v>
      </c>
      <c r="B468" s="9" t="s">
        <v>537</v>
      </c>
      <c r="C468" s="9" t="s">
        <v>12</v>
      </c>
      <c r="D468" s="9" t="s">
        <v>50</v>
      </c>
      <c r="E468" t="s">
        <v>990</v>
      </c>
      <c r="F468" s="11">
        <v>35980</v>
      </c>
      <c r="G468" s="10">
        <v>3022.32</v>
      </c>
      <c r="H468" s="10">
        <v>39002.32</v>
      </c>
      <c r="I468" s="9" t="s">
        <v>9</v>
      </c>
      <c r="J468" s="9" t="s">
        <v>10</v>
      </c>
      <c r="K468" s="4">
        <v>8.4000000000000005E-2</v>
      </c>
      <c r="L468" t="str">
        <f>IF(pg_1[[#This Row],[Salary]]&gt;=90000, "Met minimum", "Not met minimum")</f>
        <v>Not met minimum</v>
      </c>
    </row>
    <row r="469" spans="1:12" x14ac:dyDescent="0.25">
      <c r="A469" s="8">
        <v>468</v>
      </c>
      <c r="B469" s="9" t="s">
        <v>538</v>
      </c>
      <c r="C469" s="9" t="s">
        <v>7</v>
      </c>
      <c r="D469" s="9" t="s">
        <v>67</v>
      </c>
      <c r="E469" t="s">
        <v>986</v>
      </c>
      <c r="F469" s="11">
        <v>65700</v>
      </c>
      <c r="G469" s="10">
        <v>328.5</v>
      </c>
      <c r="H469" s="10">
        <v>66028.5</v>
      </c>
      <c r="I469" s="9" t="s">
        <v>17</v>
      </c>
      <c r="J469" s="9" t="s">
        <v>51</v>
      </c>
      <c r="K469" s="4">
        <v>5.0000000000000001E-3</v>
      </c>
      <c r="L469" t="str">
        <f>IF(pg_1[[#This Row],[Salary]]&gt;=90000, "Met minimum", "Not met minimum")</f>
        <v>Not met minimum</v>
      </c>
    </row>
    <row r="470" spans="1:12" x14ac:dyDescent="0.25">
      <c r="A470" s="8">
        <v>469</v>
      </c>
      <c r="B470" s="9" t="s">
        <v>539</v>
      </c>
      <c r="C470" s="9" t="s">
        <v>12</v>
      </c>
      <c r="D470" s="9" t="s">
        <v>31</v>
      </c>
      <c r="E470" t="s">
        <v>988</v>
      </c>
      <c r="F470" s="11">
        <v>109170</v>
      </c>
      <c r="G470" s="10">
        <v>5786.01</v>
      </c>
      <c r="H470" s="10">
        <v>114956.01</v>
      </c>
      <c r="I470" s="9" t="s">
        <v>9</v>
      </c>
      <c r="J470" s="9" t="s">
        <v>14</v>
      </c>
      <c r="K470" s="4">
        <v>5.2999999999999999E-2</v>
      </c>
      <c r="L470" t="str">
        <f>IF(pg_1[[#This Row],[Salary]]&gt;=90000, "Met minimum", "Not met minimum")</f>
        <v>Met minimum</v>
      </c>
    </row>
    <row r="471" spans="1:12" x14ac:dyDescent="0.25">
      <c r="A471" s="8">
        <v>470</v>
      </c>
      <c r="B471" s="9" t="s">
        <v>540</v>
      </c>
      <c r="C471" s="9" t="s">
        <v>7</v>
      </c>
      <c r="D471" s="9" t="s">
        <v>23</v>
      </c>
      <c r="E471" t="s">
        <v>994</v>
      </c>
      <c r="F471" s="11">
        <v>95020</v>
      </c>
      <c r="G471" s="10">
        <v>2660.56</v>
      </c>
      <c r="H471" s="10">
        <v>97680.56</v>
      </c>
      <c r="I471" s="9" t="s">
        <v>9</v>
      </c>
      <c r="J471" s="9" t="s">
        <v>28</v>
      </c>
      <c r="K471" s="4">
        <v>2.8000000000000001E-2</v>
      </c>
      <c r="L471" t="str">
        <f>IF(pg_1[[#This Row],[Salary]]&gt;=90000, "Met minimum", "Not met minimum")</f>
        <v>Met minimum</v>
      </c>
    </row>
    <row r="472" spans="1:12" x14ac:dyDescent="0.25">
      <c r="A472" s="8">
        <v>471</v>
      </c>
      <c r="B472" s="9" t="s">
        <v>541</v>
      </c>
      <c r="C472" s="9" t="s">
        <v>12</v>
      </c>
      <c r="D472" s="9" t="s">
        <v>37</v>
      </c>
      <c r="E472" t="s">
        <v>985</v>
      </c>
      <c r="F472" s="11">
        <v>87290</v>
      </c>
      <c r="G472" s="10">
        <v>3578.8900000000003</v>
      </c>
      <c r="H472" s="10">
        <v>90868.89</v>
      </c>
      <c r="I472" s="9" t="s">
        <v>21</v>
      </c>
      <c r="J472" s="9" t="s">
        <v>14</v>
      </c>
      <c r="K472" s="4">
        <v>4.1000000000000002E-2</v>
      </c>
      <c r="L472" t="str">
        <f>IF(pg_1[[#This Row],[Salary]]&gt;=90000, "Met minimum", "Not met minimum")</f>
        <v>Not met minimum</v>
      </c>
    </row>
    <row r="473" spans="1:12" x14ac:dyDescent="0.25">
      <c r="A473" s="8">
        <v>472</v>
      </c>
      <c r="B473" s="9" t="s">
        <v>542</v>
      </c>
      <c r="C473" s="9" t="s">
        <v>12</v>
      </c>
      <c r="D473" s="9" t="s">
        <v>13</v>
      </c>
      <c r="E473" t="s">
        <v>994</v>
      </c>
      <c r="F473" s="11">
        <v>97110</v>
      </c>
      <c r="G473" s="10">
        <v>3398.8500000000004</v>
      </c>
      <c r="H473" s="10">
        <v>100508.85</v>
      </c>
      <c r="I473" s="9" t="s">
        <v>17</v>
      </c>
      <c r="J473" s="9" t="s">
        <v>28</v>
      </c>
      <c r="K473" s="4">
        <v>3.5000000000000003E-2</v>
      </c>
      <c r="L473" t="str">
        <f>IF(pg_1[[#This Row],[Salary]]&gt;=90000, "Met minimum", "Not met minimum")</f>
        <v>Met minimum</v>
      </c>
    </row>
    <row r="474" spans="1:12" x14ac:dyDescent="0.25">
      <c r="A474" s="8">
        <v>473</v>
      </c>
      <c r="B474" s="9" t="s">
        <v>543</v>
      </c>
      <c r="C474" s="9" t="s">
        <v>12</v>
      </c>
      <c r="D474" s="9" t="s">
        <v>50</v>
      </c>
      <c r="E474" t="s">
        <v>987</v>
      </c>
      <c r="F474" s="11">
        <v>59430</v>
      </c>
      <c r="G474" s="10">
        <v>1961.19</v>
      </c>
      <c r="H474" s="10">
        <v>61391.19</v>
      </c>
      <c r="I474" s="9" t="s">
        <v>9</v>
      </c>
      <c r="J474" s="9" t="s">
        <v>28</v>
      </c>
      <c r="K474" s="4">
        <v>3.3000000000000002E-2</v>
      </c>
      <c r="L474" t="str">
        <f>IF(pg_1[[#This Row],[Salary]]&gt;=90000, "Met minimum", "Not met minimum")</f>
        <v>Not met minimum</v>
      </c>
    </row>
    <row r="475" spans="1:12" x14ac:dyDescent="0.25">
      <c r="A475" s="8">
        <v>474</v>
      </c>
      <c r="B475" s="9" t="s">
        <v>544</v>
      </c>
      <c r="C475" s="9" t="s">
        <v>7</v>
      </c>
      <c r="D475" s="9" t="s">
        <v>67</v>
      </c>
      <c r="E475" t="s">
        <v>991</v>
      </c>
      <c r="F475" s="11">
        <v>112120</v>
      </c>
      <c r="G475" s="10">
        <v>3924.2000000000003</v>
      </c>
      <c r="H475" s="10">
        <v>116044.2</v>
      </c>
      <c r="I475" s="9" t="s">
        <v>9</v>
      </c>
      <c r="J475" s="9" t="s">
        <v>28</v>
      </c>
      <c r="K475" s="4">
        <v>3.5000000000000003E-2</v>
      </c>
      <c r="L475" t="str">
        <f>IF(pg_1[[#This Row],[Salary]]&gt;=90000, "Met minimum", "Not met minimum")</f>
        <v>Met minimum</v>
      </c>
    </row>
    <row r="476" spans="1:12" x14ac:dyDescent="0.25">
      <c r="A476" s="8">
        <v>475</v>
      </c>
      <c r="B476" s="9" t="s">
        <v>545</v>
      </c>
      <c r="C476" s="9" t="s">
        <v>7</v>
      </c>
      <c r="D476" s="9" t="s">
        <v>50</v>
      </c>
      <c r="E476" t="s">
        <v>993</v>
      </c>
      <c r="F476" s="11">
        <v>28160</v>
      </c>
      <c r="G476" s="10">
        <v>0</v>
      </c>
      <c r="H476" s="10">
        <v>28160</v>
      </c>
      <c r="I476" s="9" t="s">
        <v>17</v>
      </c>
      <c r="J476" s="9" t="s">
        <v>18</v>
      </c>
      <c r="K476" s="4">
        <v>0</v>
      </c>
      <c r="L476" t="str">
        <f>IF(pg_1[[#This Row],[Salary]]&gt;=90000, "Met minimum", "Not met minimum")</f>
        <v>Not met minimum</v>
      </c>
    </row>
    <row r="477" spans="1:12" x14ac:dyDescent="0.25">
      <c r="A477" s="8">
        <v>476</v>
      </c>
      <c r="B477" s="9" t="s">
        <v>546</v>
      </c>
      <c r="C477" s="9" t="s">
        <v>12</v>
      </c>
      <c r="D477" s="9" t="s">
        <v>20</v>
      </c>
      <c r="E477" t="s">
        <v>992</v>
      </c>
      <c r="F477" s="11">
        <v>75870</v>
      </c>
      <c r="G477" s="10">
        <v>1593.2700000000002</v>
      </c>
      <c r="H477" s="10">
        <v>77463.27</v>
      </c>
      <c r="I477" s="9" t="s">
        <v>9</v>
      </c>
      <c r="J477" s="9" t="s">
        <v>28</v>
      </c>
      <c r="K477" s="4">
        <v>2.1000000000000001E-2</v>
      </c>
      <c r="L477" t="str">
        <f>IF(pg_1[[#This Row],[Salary]]&gt;=90000, "Met minimum", "Not met minimum")</f>
        <v>Not met minimum</v>
      </c>
    </row>
    <row r="478" spans="1:12" x14ac:dyDescent="0.25">
      <c r="A478" s="8">
        <v>477</v>
      </c>
      <c r="B478" s="9" t="s">
        <v>547</v>
      </c>
      <c r="C478" s="9" t="s">
        <v>12</v>
      </c>
      <c r="D478" s="9" t="s">
        <v>23</v>
      </c>
      <c r="E478" t="s">
        <v>994</v>
      </c>
      <c r="F478" s="11">
        <v>93270</v>
      </c>
      <c r="G478" s="10">
        <v>2611.56</v>
      </c>
      <c r="H478" s="10">
        <v>95881.56</v>
      </c>
      <c r="I478" s="9" t="s">
        <v>9</v>
      </c>
      <c r="J478" s="9" t="s">
        <v>28</v>
      </c>
      <c r="K478" s="4">
        <v>2.8000000000000001E-2</v>
      </c>
      <c r="L478" t="str">
        <f>IF(pg_1[[#This Row],[Salary]]&gt;=90000, "Met minimum", "Not met minimum")</f>
        <v>Met minimum</v>
      </c>
    </row>
    <row r="479" spans="1:12" x14ac:dyDescent="0.25">
      <c r="A479" s="8">
        <v>478</v>
      </c>
      <c r="B479" s="9" t="s">
        <v>548</v>
      </c>
      <c r="C479" s="9" t="s">
        <v>12</v>
      </c>
      <c r="D479" s="9" t="s">
        <v>42</v>
      </c>
      <c r="E479" t="s">
        <v>989</v>
      </c>
      <c r="F479" s="11">
        <v>42730</v>
      </c>
      <c r="G479" s="10">
        <v>1709.2</v>
      </c>
      <c r="H479" s="10">
        <v>44439.199999999997</v>
      </c>
      <c r="I479" s="9" t="s">
        <v>9</v>
      </c>
      <c r="J479" s="9" t="s">
        <v>28</v>
      </c>
      <c r="K479" s="4">
        <v>0.04</v>
      </c>
      <c r="L479" t="str">
        <f>IF(pg_1[[#This Row],[Salary]]&gt;=90000, "Met minimum", "Not met minimum")</f>
        <v>Not met minimum</v>
      </c>
    </row>
    <row r="480" spans="1:12" x14ac:dyDescent="0.25">
      <c r="A480" s="8">
        <v>479</v>
      </c>
      <c r="B480" s="9" t="s">
        <v>549</v>
      </c>
      <c r="C480" s="9" t="s">
        <v>12</v>
      </c>
      <c r="D480" s="9" t="s">
        <v>31</v>
      </c>
      <c r="E480" t="s">
        <v>985</v>
      </c>
      <c r="F480" s="11">
        <v>80610</v>
      </c>
      <c r="G480" s="10">
        <v>1854.03</v>
      </c>
      <c r="H480" s="10">
        <v>82464.03</v>
      </c>
      <c r="I480" s="9" t="s">
        <v>17</v>
      </c>
      <c r="J480" s="9" t="s">
        <v>28</v>
      </c>
      <c r="K480" s="4">
        <v>2.3E-2</v>
      </c>
      <c r="L480" t="str">
        <f>IF(pg_1[[#This Row],[Salary]]&gt;=90000, "Met minimum", "Not met minimum")</f>
        <v>Not met minimum</v>
      </c>
    </row>
    <row r="481" spans="1:12" x14ac:dyDescent="0.25">
      <c r="A481" s="8">
        <v>480</v>
      </c>
      <c r="B481" s="9" t="s">
        <v>550</v>
      </c>
      <c r="C481" s="9" t="s">
        <v>12</v>
      </c>
      <c r="D481" s="9" t="s">
        <v>31</v>
      </c>
      <c r="E481" t="s">
        <v>986</v>
      </c>
      <c r="F481" s="11">
        <v>69060</v>
      </c>
      <c r="G481" s="10">
        <v>345.3</v>
      </c>
      <c r="H481" s="10">
        <v>69405.3</v>
      </c>
      <c r="I481" s="9" t="s">
        <v>9</v>
      </c>
      <c r="J481" s="9" t="s">
        <v>51</v>
      </c>
      <c r="K481" s="4">
        <v>5.0000000000000001E-3</v>
      </c>
      <c r="L481" t="str">
        <f>IF(pg_1[[#This Row],[Salary]]&gt;=90000, "Met minimum", "Not met minimum")</f>
        <v>Not met minimum</v>
      </c>
    </row>
    <row r="482" spans="1:12" x14ac:dyDescent="0.25">
      <c r="A482" s="8">
        <v>481</v>
      </c>
      <c r="B482" s="9" t="s">
        <v>551</v>
      </c>
      <c r="C482" s="9" t="s">
        <v>7</v>
      </c>
      <c r="D482" s="9" t="s">
        <v>37</v>
      </c>
      <c r="E482" t="s">
        <v>990</v>
      </c>
      <c r="F482" s="11">
        <v>31280</v>
      </c>
      <c r="G482" s="10">
        <v>1000.96</v>
      </c>
      <c r="H482" s="10">
        <v>32280.959999999999</v>
      </c>
      <c r="I482" s="9" t="s">
        <v>17</v>
      </c>
      <c r="J482" s="9" t="s">
        <v>28</v>
      </c>
      <c r="K482" s="4">
        <v>3.2000000000000001E-2</v>
      </c>
      <c r="L482" t="str">
        <f>IF(pg_1[[#This Row],[Salary]]&gt;=90000, "Met minimum", "Not met minimum")</f>
        <v>Not met minimum</v>
      </c>
    </row>
    <row r="483" spans="1:12" x14ac:dyDescent="0.25">
      <c r="A483" s="8">
        <v>482</v>
      </c>
      <c r="B483" s="9" t="s">
        <v>552</v>
      </c>
      <c r="C483" s="9" t="s">
        <v>7</v>
      </c>
      <c r="D483" s="9" t="s">
        <v>34</v>
      </c>
      <c r="E483" t="s">
        <v>994</v>
      </c>
      <c r="F483" s="11">
        <v>96610</v>
      </c>
      <c r="G483" s="10">
        <v>7052.53</v>
      </c>
      <c r="H483" s="10">
        <v>103662.53</v>
      </c>
      <c r="I483" s="9" t="s">
        <v>21</v>
      </c>
      <c r="J483" s="9" t="s">
        <v>10</v>
      </c>
      <c r="K483" s="4">
        <v>7.2999999999999995E-2</v>
      </c>
      <c r="L483" t="str">
        <f>IF(pg_1[[#This Row],[Salary]]&gt;=90000, "Met minimum", "Not met minimum")</f>
        <v>Met minimum</v>
      </c>
    </row>
    <row r="484" spans="1:12" x14ac:dyDescent="0.25">
      <c r="A484" s="8">
        <v>483</v>
      </c>
      <c r="B484" s="9" t="s">
        <v>553</v>
      </c>
      <c r="C484" s="9" t="s">
        <v>12</v>
      </c>
      <c r="D484" s="9" t="s">
        <v>34</v>
      </c>
      <c r="E484" t="s">
        <v>990</v>
      </c>
      <c r="F484" s="11">
        <v>37020</v>
      </c>
      <c r="G484" s="10">
        <v>888.48</v>
      </c>
      <c r="H484" s="10">
        <v>37908.480000000003</v>
      </c>
      <c r="I484" s="9" t="s">
        <v>21</v>
      </c>
      <c r="J484" s="9" t="s">
        <v>28</v>
      </c>
      <c r="K484" s="4">
        <v>2.4E-2</v>
      </c>
      <c r="L484" t="str">
        <f>IF(pg_1[[#This Row],[Salary]]&gt;=90000, "Met minimum", "Not met minimum")</f>
        <v>Not met minimum</v>
      </c>
    </row>
    <row r="485" spans="1:12" x14ac:dyDescent="0.25">
      <c r="A485" s="8">
        <v>484</v>
      </c>
      <c r="B485" s="9" t="s">
        <v>554</v>
      </c>
      <c r="C485" s="9" t="s">
        <v>7</v>
      </c>
      <c r="D485" s="9" t="s">
        <v>42</v>
      </c>
      <c r="E485" t="s">
        <v>987</v>
      </c>
      <c r="F485" s="11">
        <v>54970</v>
      </c>
      <c r="G485" s="10">
        <v>2198.8000000000002</v>
      </c>
      <c r="H485" s="10">
        <v>57168.800000000003</v>
      </c>
      <c r="I485" s="9" t="s">
        <v>9</v>
      </c>
      <c r="J485" s="9" t="s">
        <v>28</v>
      </c>
      <c r="K485" s="4">
        <v>0.04</v>
      </c>
      <c r="L485" t="str">
        <f>IF(pg_1[[#This Row],[Salary]]&gt;=90000, "Met minimum", "Not met minimum")</f>
        <v>Not met minimum</v>
      </c>
    </row>
    <row r="486" spans="1:12" x14ac:dyDescent="0.25">
      <c r="A486" s="8">
        <v>485</v>
      </c>
      <c r="B486" s="9" t="s">
        <v>555</v>
      </c>
      <c r="C486" s="9" t="s">
        <v>7</v>
      </c>
      <c r="D486" s="9" t="s">
        <v>31</v>
      </c>
      <c r="E486" t="s">
        <v>989</v>
      </c>
      <c r="F486" s="11">
        <v>41910</v>
      </c>
      <c r="G486" s="10">
        <v>628.65</v>
      </c>
      <c r="H486" s="10">
        <v>42538.65</v>
      </c>
      <c r="I486" s="9" t="s">
        <v>9</v>
      </c>
      <c r="J486" s="9" t="s">
        <v>24</v>
      </c>
      <c r="K486" s="4">
        <v>1.4999999999999999E-2</v>
      </c>
      <c r="L486" t="str">
        <f>IF(pg_1[[#This Row],[Salary]]&gt;=90000, "Met minimum", "Not met minimum")</f>
        <v>Not met minimum</v>
      </c>
    </row>
    <row r="487" spans="1:12" x14ac:dyDescent="0.25">
      <c r="A487" s="8">
        <v>486</v>
      </c>
      <c r="B487" s="9" t="s">
        <v>556</v>
      </c>
      <c r="C487" s="9" t="s">
        <v>7</v>
      </c>
      <c r="D487" s="9" t="s">
        <v>23</v>
      </c>
      <c r="E487" t="s">
        <v>991</v>
      </c>
      <c r="F487" s="11">
        <v>116970</v>
      </c>
      <c r="G487" s="10">
        <v>8889.7199999999993</v>
      </c>
      <c r="H487" s="10">
        <v>125859.72</v>
      </c>
      <c r="I487" s="9" t="s">
        <v>17</v>
      </c>
      <c r="J487" s="9" t="s">
        <v>10</v>
      </c>
      <c r="K487" s="4">
        <v>7.5999999999999998E-2</v>
      </c>
      <c r="L487" t="str">
        <f>IF(pg_1[[#This Row],[Salary]]&gt;=90000, "Met minimum", "Not met minimum")</f>
        <v>Met minimum</v>
      </c>
    </row>
    <row r="488" spans="1:12" x14ac:dyDescent="0.25">
      <c r="A488" s="8">
        <v>487</v>
      </c>
      <c r="B488" s="9" t="s">
        <v>557</v>
      </c>
      <c r="C488" s="9" t="s">
        <v>12</v>
      </c>
      <c r="D488" s="9" t="s">
        <v>27</v>
      </c>
      <c r="E488" t="s">
        <v>985</v>
      </c>
      <c r="F488" s="11">
        <v>86390</v>
      </c>
      <c r="G488" s="10">
        <v>4665.0600000000004</v>
      </c>
      <c r="H488" s="10">
        <v>91055.06</v>
      </c>
      <c r="I488" s="9" t="s">
        <v>17</v>
      </c>
      <c r="J488" s="9" t="s">
        <v>14</v>
      </c>
      <c r="K488" s="4">
        <v>5.3999999999999999E-2</v>
      </c>
      <c r="L488" t="str">
        <f>IF(pg_1[[#This Row],[Salary]]&gt;=90000, "Met minimum", "Not met minimum")</f>
        <v>Not met minimum</v>
      </c>
    </row>
    <row r="489" spans="1:12" x14ac:dyDescent="0.25">
      <c r="A489" s="8">
        <v>488</v>
      </c>
      <c r="B489" s="9" t="s">
        <v>558</v>
      </c>
      <c r="C489" s="9" t="s">
        <v>7</v>
      </c>
      <c r="D489" s="9" t="s">
        <v>31</v>
      </c>
      <c r="E489" t="s">
        <v>985</v>
      </c>
      <c r="F489" s="11">
        <v>81150</v>
      </c>
      <c r="G489" s="10">
        <v>0</v>
      </c>
      <c r="H489" s="10">
        <v>81150</v>
      </c>
      <c r="I489" s="9" t="s">
        <v>17</v>
      </c>
      <c r="J489" s="9" t="s">
        <v>18</v>
      </c>
      <c r="K489" s="4">
        <v>0</v>
      </c>
      <c r="L489" t="str">
        <f>IF(pg_1[[#This Row],[Salary]]&gt;=90000, "Met minimum", "Not met minimum")</f>
        <v>Not met minimum</v>
      </c>
    </row>
    <row r="490" spans="1:12" x14ac:dyDescent="0.25">
      <c r="A490" s="8">
        <v>489</v>
      </c>
      <c r="B490" s="9" t="s">
        <v>559</v>
      </c>
      <c r="C490" s="9" t="s">
        <v>12</v>
      </c>
      <c r="D490" s="9" t="s">
        <v>53</v>
      </c>
      <c r="E490" t="s">
        <v>992</v>
      </c>
      <c r="F490" s="11">
        <v>71820</v>
      </c>
      <c r="G490" s="10">
        <v>1436.4</v>
      </c>
      <c r="H490" s="10">
        <v>73256.399999999994</v>
      </c>
      <c r="I490" s="9" t="s">
        <v>21</v>
      </c>
      <c r="J490" s="9" t="s">
        <v>28</v>
      </c>
      <c r="K490" s="4">
        <v>0.02</v>
      </c>
      <c r="L490" t="str">
        <f>IF(pg_1[[#This Row],[Salary]]&gt;=90000, "Met minimum", "Not met minimum")</f>
        <v>Not met minimum</v>
      </c>
    </row>
    <row r="491" spans="1:12" x14ac:dyDescent="0.25">
      <c r="A491" s="8">
        <v>490</v>
      </c>
      <c r="B491" s="9" t="s">
        <v>560</v>
      </c>
      <c r="C491" s="9" t="s">
        <v>7</v>
      </c>
      <c r="D491" s="9" t="s">
        <v>50</v>
      </c>
      <c r="E491" t="s">
        <v>985</v>
      </c>
      <c r="F491" s="11">
        <v>85460</v>
      </c>
      <c r="G491" s="10">
        <v>2820.1800000000003</v>
      </c>
      <c r="H491" s="10">
        <v>88280.18</v>
      </c>
      <c r="I491" s="9" t="s">
        <v>21</v>
      </c>
      <c r="J491" s="9" t="s">
        <v>28</v>
      </c>
      <c r="K491" s="4">
        <v>3.3000000000000002E-2</v>
      </c>
      <c r="L491" t="str">
        <f>IF(pg_1[[#This Row],[Salary]]&gt;=90000, "Met minimum", "Not met minimum")</f>
        <v>Not met minimum</v>
      </c>
    </row>
    <row r="492" spans="1:12" x14ac:dyDescent="0.25">
      <c r="A492" s="8">
        <v>491</v>
      </c>
      <c r="B492" s="9" t="s">
        <v>561</v>
      </c>
      <c r="C492" s="9" t="s">
        <v>12</v>
      </c>
      <c r="D492" s="9" t="s">
        <v>34</v>
      </c>
      <c r="E492" t="s">
        <v>994</v>
      </c>
      <c r="F492" s="11">
        <v>91190</v>
      </c>
      <c r="G492" s="10">
        <v>1641.4199999999998</v>
      </c>
      <c r="H492" s="10">
        <v>92831.42</v>
      </c>
      <c r="I492" s="9" t="s">
        <v>9</v>
      </c>
      <c r="J492" s="9" t="s">
        <v>24</v>
      </c>
      <c r="K492" s="4">
        <v>1.7999999999999999E-2</v>
      </c>
      <c r="L492" t="str">
        <f>IF(pg_1[[#This Row],[Salary]]&gt;=90000, "Met minimum", "Not met minimum")</f>
        <v>Met minimum</v>
      </c>
    </row>
    <row r="493" spans="1:12" x14ac:dyDescent="0.25">
      <c r="A493" s="8">
        <v>492</v>
      </c>
      <c r="B493" s="9" t="s">
        <v>562</v>
      </c>
      <c r="C493" s="9" t="s">
        <v>970</v>
      </c>
      <c r="D493" s="9" t="s">
        <v>23</v>
      </c>
      <c r="E493" t="s">
        <v>994</v>
      </c>
      <c r="F493" s="11">
        <v>93160</v>
      </c>
      <c r="G493" s="10">
        <v>2608.48</v>
      </c>
      <c r="H493" s="10">
        <v>95768.48</v>
      </c>
      <c r="I493" s="9" t="s">
        <v>9</v>
      </c>
      <c r="J493" s="9" t="s">
        <v>28</v>
      </c>
      <c r="K493" s="4">
        <v>2.8000000000000001E-2</v>
      </c>
      <c r="L493" t="str">
        <f>IF(pg_1[[#This Row],[Salary]]&gt;=90000, "Met minimum", "Not met minimum")</f>
        <v>Met minimum</v>
      </c>
    </row>
    <row r="494" spans="1:12" x14ac:dyDescent="0.25">
      <c r="A494" s="8">
        <v>493</v>
      </c>
      <c r="B494" s="9" t="s">
        <v>563</v>
      </c>
      <c r="C494" s="9" t="s">
        <v>7</v>
      </c>
      <c r="D494" s="9" t="s">
        <v>67</v>
      </c>
      <c r="E494" t="s">
        <v>991</v>
      </c>
      <c r="F494" s="11">
        <v>110950</v>
      </c>
      <c r="G494" s="10">
        <v>1442.35</v>
      </c>
      <c r="H494" s="10">
        <v>112392.35</v>
      </c>
      <c r="I494" s="9" t="s">
        <v>21</v>
      </c>
      <c r="J494" s="9" t="s">
        <v>24</v>
      </c>
      <c r="K494" s="4">
        <v>1.2999999999999999E-2</v>
      </c>
      <c r="L494" t="str">
        <f>IF(pg_1[[#This Row],[Salary]]&gt;=90000, "Met minimum", "Not met minimum")</f>
        <v>Met minimum</v>
      </c>
    </row>
    <row r="495" spans="1:12" x14ac:dyDescent="0.25">
      <c r="A495" s="8">
        <v>494</v>
      </c>
      <c r="B495" s="9" t="s">
        <v>564</v>
      </c>
      <c r="C495" s="9" t="s">
        <v>12</v>
      </c>
      <c r="D495" s="9" t="s">
        <v>37</v>
      </c>
      <c r="E495" t="s">
        <v>990</v>
      </c>
      <c r="F495" s="11">
        <v>35990</v>
      </c>
      <c r="G495" s="10">
        <v>1151.68</v>
      </c>
      <c r="H495" s="10">
        <v>37141.68</v>
      </c>
      <c r="I495" s="9" t="s">
        <v>17</v>
      </c>
      <c r="J495" s="9" t="s">
        <v>28</v>
      </c>
      <c r="K495" s="4">
        <v>3.2000000000000001E-2</v>
      </c>
      <c r="L495" t="str">
        <f>IF(pg_1[[#This Row],[Salary]]&gt;=90000, "Met minimum", "Not met minimum")</f>
        <v>Not met minimum</v>
      </c>
    </row>
    <row r="496" spans="1:12" x14ac:dyDescent="0.25">
      <c r="A496" s="8">
        <v>495</v>
      </c>
      <c r="B496" s="9" t="s">
        <v>565</v>
      </c>
      <c r="C496" s="9" t="s">
        <v>7</v>
      </c>
      <c r="D496" s="9" t="s">
        <v>13</v>
      </c>
      <c r="E496" t="s">
        <v>990</v>
      </c>
      <c r="F496" s="11">
        <v>39970</v>
      </c>
      <c r="G496" s="10">
        <v>1398.95</v>
      </c>
      <c r="H496" s="10">
        <v>41368.949999999997</v>
      </c>
      <c r="I496" s="9" t="s">
        <v>21</v>
      </c>
      <c r="J496" s="9" t="s">
        <v>28</v>
      </c>
      <c r="K496" s="4">
        <v>3.5000000000000003E-2</v>
      </c>
      <c r="L496" t="str">
        <f>IF(pg_1[[#This Row],[Salary]]&gt;=90000, "Met minimum", "Not met minimum")</f>
        <v>Not met minimum</v>
      </c>
    </row>
    <row r="497" spans="1:12" x14ac:dyDescent="0.25">
      <c r="A497" s="8">
        <v>496</v>
      </c>
      <c r="B497" s="9" t="s">
        <v>566</v>
      </c>
      <c r="C497" s="9" t="s">
        <v>7</v>
      </c>
      <c r="D497" s="9" t="s">
        <v>42</v>
      </c>
      <c r="E497" t="s">
        <v>992</v>
      </c>
      <c r="F497" s="11">
        <v>79520</v>
      </c>
      <c r="G497" s="10">
        <v>3180.8</v>
      </c>
      <c r="H497" s="10">
        <v>82700.800000000003</v>
      </c>
      <c r="I497" s="9" t="s">
        <v>21</v>
      </c>
      <c r="J497" s="9" t="s">
        <v>28</v>
      </c>
      <c r="K497" s="4">
        <v>0.04</v>
      </c>
      <c r="L497" t="str">
        <f>IF(pg_1[[#This Row],[Salary]]&gt;=90000, "Met minimum", "Not met minimum")</f>
        <v>Not met minimum</v>
      </c>
    </row>
    <row r="498" spans="1:12" x14ac:dyDescent="0.25">
      <c r="A498" s="8">
        <v>497</v>
      </c>
      <c r="B498" s="9" t="s">
        <v>567</v>
      </c>
      <c r="C498" s="9" t="s">
        <v>7</v>
      </c>
      <c r="D498" s="9" t="s">
        <v>20</v>
      </c>
      <c r="E498" t="s">
        <v>987</v>
      </c>
      <c r="F498" s="11">
        <v>52120</v>
      </c>
      <c r="G498" s="10">
        <v>990.28</v>
      </c>
      <c r="H498" s="10">
        <v>53110.28</v>
      </c>
      <c r="I498" s="9" t="s">
        <v>17</v>
      </c>
      <c r="J498" s="9" t="s">
        <v>24</v>
      </c>
      <c r="K498" s="4">
        <v>1.9E-2</v>
      </c>
      <c r="L498" t="str">
        <f>IF(pg_1[[#This Row],[Salary]]&gt;=90000, "Met minimum", "Not met minimum")</f>
        <v>Not met minimum</v>
      </c>
    </row>
    <row r="499" spans="1:12" x14ac:dyDescent="0.25">
      <c r="A499" s="8">
        <v>498</v>
      </c>
      <c r="B499" s="9" t="s">
        <v>568</v>
      </c>
      <c r="C499" s="9" t="s">
        <v>7</v>
      </c>
      <c r="D499" s="9" t="s">
        <v>23</v>
      </c>
      <c r="E499" t="s">
        <v>986</v>
      </c>
      <c r="F499" s="11">
        <v>60010</v>
      </c>
      <c r="G499" s="10">
        <v>1680.28</v>
      </c>
      <c r="H499" s="10">
        <v>61690.28</v>
      </c>
      <c r="I499" s="9" t="s">
        <v>9</v>
      </c>
      <c r="J499" s="9" t="s">
        <v>28</v>
      </c>
      <c r="K499" s="4">
        <v>2.8000000000000001E-2</v>
      </c>
      <c r="L499" t="str">
        <f>IF(pg_1[[#This Row],[Salary]]&gt;=90000, "Met minimum", "Not met minimum")</f>
        <v>Not met minimum</v>
      </c>
    </row>
    <row r="500" spans="1:12" x14ac:dyDescent="0.25">
      <c r="A500" s="8">
        <v>499</v>
      </c>
      <c r="B500" s="9" t="s">
        <v>569</v>
      </c>
      <c r="C500" s="9" t="s">
        <v>12</v>
      </c>
      <c r="D500" s="9" t="s">
        <v>53</v>
      </c>
      <c r="E500" t="s">
        <v>990</v>
      </c>
      <c r="F500" s="11">
        <v>35440</v>
      </c>
      <c r="G500" s="10">
        <v>2055.52</v>
      </c>
      <c r="H500" s="10">
        <v>37495.519999999997</v>
      </c>
      <c r="I500" s="9" t="s">
        <v>17</v>
      </c>
      <c r="J500" s="9" t="s">
        <v>14</v>
      </c>
      <c r="K500" s="4">
        <v>5.8000000000000003E-2</v>
      </c>
      <c r="L500" t="str">
        <f>IF(pg_1[[#This Row],[Salary]]&gt;=90000, "Met minimum", "Not met minimum")</f>
        <v>Not met minimum</v>
      </c>
    </row>
    <row r="501" spans="1:12" x14ac:dyDescent="0.25">
      <c r="A501" s="8">
        <v>500</v>
      </c>
      <c r="B501" s="9" t="s">
        <v>571</v>
      </c>
      <c r="C501" s="9" t="s">
        <v>12</v>
      </c>
      <c r="D501" s="9" t="s">
        <v>20</v>
      </c>
      <c r="E501" t="s">
        <v>988</v>
      </c>
      <c r="F501" s="11">
        <v>105610</v>
      </c>
      <c r="G501" s="10">
        <v>2006.59</v>
      </c>
      <c r="H501" s="10">
        <v>107616.59</v>
      </c>
      <c r="I501" s="9" t="s">
        <v>9</v>
      </c>
      <c r="J501" s="9" t="s">
        <v>24</v>
      </c>
      <c r="K501" s="4">
        <v>1.9E-2</v>
      </c>
      <c r="L501" t="str">
        <f>IF(pg_1[[#This Row],[Salary]]&gt;=90000, "Met minimum", "Not met minimum")</f>
        <v>Met minimum</v>
      </c>
    </row>
    <row r="502" spans="1:12" x14ac:dyDescent="0.25">
      <c r="A502" s="8">
        <v>501</v>
      </c>
      <c r="B502" s="9" t="s">
        <v>572</v>
      </c>
      <c r="C502" s="9" t="s">
        <v>7</v>
      </c>
      <c r="D502" s="9" t="s">
        <v>53</v>
      </c>
      <c r="E502" t="s">
        <v>991</v>
      </c>
      <c r="F502" s="11">
        <v>113280</v>
      </c>
      <c r="G502" s="10">
        <v>6570.2400000000007</v>
      </c>
      <c r="H502" s="10">
        <v>119850.24000000001</v>
      </c>
      <c r="I502" s="9" t="s">
        <v>17</v>
      </c>
      <c r="J502" s="9" t="s">
        <v>14</v>
      </c>
      <c r="K502" s="4">
        <v>5.8000000000000003E-2</v>
      </c>
      <c r="L502" t="str">
        <f>IF(pg_1[[#This Row],[Salary]]&gt;=90000, "Met minimum", "Not met minimum")</f>
        <v>Met minimum</v>
      </c>
    </row>
    <row r="503" spans="1:12" x14ac:dyDescent="0.25">
      <c r="A503" s="8">
        <v>502</v>
      </c>
      <c r="B503" s="9" t="s">
        <v>573</v>
      </c>
      <c r="C503" s="9" t="s">
        <v>12</v>
      </c>
      <c r="D503" s="9" t="s">
        <v>13</v>
      </c>
      <c r="E503" t="s">
        <v>989</v>
      </c>
      <c r="F503" s="11">
        <v>41980</v>
      </c>
      <c r="G503" s="10">
        <v>1469.3000000000002</v>
      </c>
      <c r="H503" s="10">
        <v>43449.3</v>
      </c>
      <c r="I503" s="9" t="s">
        <v>9</v>
      </c>
      <c r="J503" s="9" t="s">
        <v>28</v>
      </c>
      <c r="K503" s="4">
        <v>3.5000000000000003E-2</v>
      </c>
      <c r="L503" t="str">
        <f>IF(pg_1[[#This Row],[Salary]]&gt;=90000, "Met minimum", "Not met minimum")</f>
        <v>Not met minimum</v>
      </c>
    </row>
    <row r="504" spans="1:12" x14ac:dyDescent="0.25">
      <c r="A504" s="8">
        <v>503</v>
      </c>
      <c r="B504" s="9" t="s">
        <v>574</v>
      </c>
      <c r="C504" s="9" t="s">
        <v>7</v>
      </c>
      <c r="D504" s="9" t="s">
        <v>34</v>
      </c>
      <c r="E504" t="s">
        <v>988</v>
      </c>
      <c r="F504" s="11">
        <v>103670</v>
      </c>
      <c r="G504" s="10">
        <v>2488.08</v>
      </c>
      <c r="H504" s="10">
        <v>106158.08</v>
      </c>
      <c r="I504" s="9" t="s">
        <v>9</v>
      </c>
      <c r="J504" s="9" t="s">
        <v>28</v>
      </c>
      <c r="K504" s="4">
        <v>2.4E-2</v>
      </c>
      <c r="L504" t="str">
        <f>IF(pg_1[[#This Row],[Salary]]&gt;=90000, "Met minimum", "Not met minimum")</f>
        <v>Met minimum</v>
      </c>
    </row>
    <row r="505" spans="1:12" x14ac:dyDescent="0.25">
      <c r="A505" s="8">
        <v>504</v>
      </c>
      <c r="B505" s="9" t="s">
        <v>575</v>
      </c>
      <c r="C505" s="9" t="s">
        <v>12</v>
      </c>
      <c r="D505" s="9" t="s">
        <v>31</v>
      </c>
      <c r="E505" t="s">
        <v>985</v>
      </c>
      <c r="F505" s="11">
        <v>89690</v>
      </c>
      <c r="G505" s="10">
        <v>4753.57</v>
      </c>
      <c r="H505" s="10">
        <v>94443.57</v>
      </c>
      <c r="I505" s="9" t="s">
        <v>21</v>
      </c>
      <c r="J505" s="9" t="s">
        <v>14</v>
      </c>
      <c r="K505" s="4">
        <v>5.2999999999999999E-2</v>
      </c>
      <c r="L505" t="str">
        <f>IF(pg_1[[#This Row],[Salary]]&gt;=90000, "Met minimum", "Not met minimum")</f>
        <v>Not met minimum</v>
      </c>
    </row>
    <row r="506" spans="1:12" x14ac:dyDescent="0.25">
      <c r="A506" s="8">
        <v>505</v>
      </c>
      <c r="B506" s="9" t="s">
        <v>576</v>
      </c>
      <c r="C506" s="9" t="s">
        <v>12</v>
      </c>
      <c r="D506" s="9" t="s">
        <v>50</v>
      </c>
      <c r="E506" t="s">
        <v>985</v>
      </c>
      <c r="F506" s="11">
        <v>87620</v>
      </c>
      <c r="G506" s="10">
        <v>4731.4799999999996</v>
      </c>
      <c r="H506" s="10">
        <v>92351.48</v>
      </c>
      <c r="I506" s="9" t="s">
        <v>17</v>
      </c>
      <c r="J506" s="9" t="s">
        <v>14</v>
      </c>
      <c r="K506" s="4">
        <v>5.3999999999999999E-2</v>
      </c>
      <c r="L506" t="str">
        <f>IF(pg_1[[#This Row],[Salary]]&gt;=90000, "Met minimum", "Not met minimum")</f>
        <v>Not met minimum</v>
      </c>
    </row>
    <row r="507" spans="1:12" x14ac:dyDescent="0.25">
      <c r="A507" s="8">
        <v>506</v>
      </c>
      <c r="B507" s="9" t="s">
        <v>577</v>
      </c>
      <c r="C507" s="9" t="s">
        <v>12</v>
      </c>
      <c r="D507" s="9" t="s">
        <v>50</v>
      </c>
      <c r="E507" t="s">
        <v>989</v>
      </c>
      <c r="F507" s="11">
        <v>48250</v>
      </c>
      <c r="G507" s="10">
        <v>965</v>
      </c>
      <c r="H507" s="10">
        <v>49215</v>
      </c>
      <c r="I507" s="9" t="s">
        <v>21</v>
      </c>
      <c r="J507" s="9" t="s">
        <v>24</v>
      </c>
      <c r="K507" s="4">
        <v>0.02</v>
      </c>
      <c r="L507" t="str">
        <f>IF(pg_1[[#This Row],[Salary]]&gt;=90000, "Met minimum", "Not met minimum")</f>
        <v>Not met minimum</v>
      </c>
    </row>
    <row r="508" spans="1:12" x14ac:dyDescent="0.25">
      <c r="A508" s="8">
        <v>507</v>
      </c>
      <c r="B508" s="9" t="s">
        <v>578</v>
      </c>
      <c r="C508" s="9" t="s">
        <v>7</v>
      </c>
      <c r="D508" s="9" t="s">
        <v>67</v>
      </c>
      <c r="E508" t="s">
        <v>985</v>
      </c>
      <c r="F508" s="11">
        <v>85780</v>
      </c>
      <c r="G508" s="10">
        <v>1115.1399999999999</v>
      </c>
      <c r="H508" s="10">
        <v>86895.14</v>
      </c>
      <c r="I508" s="9" t="s">
        <v>17</v>
      </c>
      <c r="J508" s="9" t="s">
        <v>24</v>
      </c>
      <c r="K508" s="4">
        <v>1.2999999999999999E-2</v>
      </c>
      <c r="L508" t="str">
        <f>IF(pg_1[[#This Row],[Salary]]&gt;=90000, "Met minimum", "Not met minimum")</f>
        <v>Not met minimum</v>
      </c>
    </row>
    <row r="509" spans="1:12" x14ac:dyDescent="0.25">
      <c r="A509" s="8">
        <v>508</v>
      </c>
      <c r="B509" s="9" t="s">
        <v>579</v>
      </c>
      <c r="C509" s="9" t="s">
        <v>7</v>
      </c>
      <c r="D509" s="9" t="s">
        <v>8</v>
      </c>
      <c r="E509" t="s">
        <v>987</v>
      </c>
      <c r="F509" s="11">
        <v>54010</v>
      </c>
      <c r="G509" s="10">
        <v>648.12</v>
      </c>
      <c r="H509" s="10">
        <v>54658.12</v>
      </c>
      <c r="I509" s="9" t="s">
        <v>21</v>
      </c>
      <c r="J509" s="9" t="s">
        <v>24</v>
      </c>
      <c r="K509" s="4">
        <v>1.2E-2</v>
      </c>
      <c r="L509" t="str">
        <f>IF(pg_1[[#This Row],[Salary]]&gt;=90000, "Met minimum", "Not met minimum")</f>
        <v>Not met minimum</v>
      </c>
    </row>
    <row r="510" spans="1:12" x14ac:dyDescent="0.25">
      <c r="A510" s="8">
        <v>509</v>
      </c>
      <c r="B510" s="9" t="s">
        <v>580</v>
      </c>
      <c r="C510" s="9" t="s">
        <v>12</v>
      </c>
      <c r="D510" s="9" t="s">
        <v>50</v>
      </c>
      <c r="E510" t="s">
        <v>990</v>
      </c>
      <c r="F510" s="11">
        <v>31020</v>
      </c>
      <c r="G510" s="10">
        <v>1023.6600000000001</v>
      </c>
      <c r="H510" s="10">
        <v>32043.66</v>
      </c>
      <c r="I510" s="9" t="s">
        <v>17</v>
      </c>
      <c r="J510" s="9" t="s">
        <v>28</v>
      </c>
      <c r="K510" s="4">
        <v>3.3000000000000002E-2</v>
      </c>
      <c r="L510" t="str">
        <f>IF(pg_1[[#This Row],[Salary]]&gt;=90000, "Met minimum", "Not met minimum")</f>
        <v>Not met minimum</v>
      </c>
    </row>
    <row r="511" spans="1:12" x14ac:dyDescent="0.25">
      <c r="A511" s="8">
        <v>510</v>
      </c>
      <c r="B511" s="9" t="s">
        <v>581</v>
      </c>
      <c r="C511" s="9" t="s">
        <v>12</v>
      </c>
      <c r="D511" s="9" t="s">
        <v>37</v>
      </c>
      <c r="E511" t="s">
        <v>992</v>
      </c>
      <c r="F511" s="11">
        <v>75480</v>
      </c>
      <c r="G511" s="10">
        <v>2415.36</v>
      </c>
      <c r="H511" s="10">
        <v>77895.360000000001</v>
      </c>
      <c r="I511" s="9" t="s">
        <v>21</v>
      </c>
      <c r="J511" s="9" t="s">
        <v>28</v>
      </c>
      <c r="K511" s="4">
        <v>3.2000000000000001E-2</v>
      </c>
      <c r="L511" t="str">
        <f>IF(pg_1[[#This Row],[Salary]]&gt;=90000, "Met minimum", "Not met minimum")</f>
        <v>Not met minimum</v>
      </c>
    </row>
    <row r="512" spans="1:12" x14ac:dyDescent="0.25">
      <c r="A512" s="8">
        <v>511</v>
      </c>
      <c r="B512" s="9" t="s">
        <v>582</v>
      </c>
      <c r="C512" s="9" t="s">
        <v>7</v>
      </c>
      <c r="D512" s="9" t="s">
        <v>27</v>
      </c>
      <c r="E512" t="s">
        <v>994</v>
      </c>
      <c r="F512" s="11">
        <v>93500</v>
      </c>
      <c r="G512" s="10">
        <v>2524.5</v>
      </c>
      <c r="H512" s="10">
        <v>96024.5</v>
      </c>
      <c r="I512" s="9" t="s">
        <v>17</v>
      </c>
      <c r="J512" s="9" t="s">
        <v>28</v>
      </c>
      <c r="K512" s="4">
        <v>2.7E-2</v>
      </c>
      <c r="L512" t="str">
        <f>IF(pg_1[[#This Row],[Salary]]&gt;=90000, "Met minimum", "Not met minimum")</f>
        <v>Met minimum</v>
      </c>
    </row>
    <row r="513" spans="1:12" x14ac:dyDescent="0.25">
      <c r="A513" s="8">
        <v>512</v>
      </c>
      <c r="B513" s="9" t="s">
        <v>583</v>
      </c>
      <c r="C513" s="9" t="s">
        <v>12</v>
      </c>
      <c r="D513" s="9" t="s">
        <v>31</v>
      </c>
      <c r="E513" t="s">
        <v>994</v>
      </c>
      <c r="F513" s="11">
        <v>98630</v>
      </c>
      <c r="G513" s="10">
        <v>5227.3899999999994</v>
      </c>
      <c r="H513" s="10">
        <v>103857.39</v>
      </c>
      <c r="I513" s="9" t="s">
        <v>9</v>
      </c>
      <c r="J513" s="9" t="s">
        <v>14</v>
      </c>
      <c r="K513" s="4">
        <v>5.2999999999999999E-2</v>
      </c>
      <c r="L513" t="str">
        <f>IF(pg_1[[#This Row],[Salary]]&gt;=90000, "Met minimum", "Not met minimum")</f>
        <v>Met minimum</v>
      </c>
    </row>
    <row r="514" spans="1:12" x14ac:dyDescent="0.25">
      <c r="A514" s="8">
        <v>513</v>
      </c>
      <c r="B514" s="9" t="s">
        <v>584</v>
      </c>
      <c r="C514" s="9" t="s">
        <v>7</v>
      </c>
      <c r="D514" s="9" t="s">
        <v>31</v>
      </c>
      <c r="E514" t="s">
        <v>992</v>
      </c>
      <c r="F514" s="11">
        <v>76390</v>
      </c>
      <c r="G514" s="10">
        <v>1756.97</v>
      </c>
      <c r="H514" s="10">
        <v>78146.97</v>
      </c>
      <c r="I514" s="9" t="s">
        <v>9</v>
      </c>
      <c r="J514" s="9" t="s">
        <v>28</v>
      </c>
      <c r="K514" s="4">
        <v>2.3E-2</v>
      </c>
      <c r="L514" t="str">
        <f>IF(pg_1[[#This Row],[Salary]]&gt;=90000, "Met minimum", "Not met minimum")</f>
        <v>Not met minimum</v>
      </c>
    </row>
    <row r="515" spans="1:12" x14ac:dyDescent="0.25">
      <c r="A515" s="8">
        <v>514</v>
      </c>
      <c r="B515" s="9" t="s">
        <v>585</v>
      </c>
      <c r="C515" s="9" t="s">
        <v>12</v>
      </c>
      <c r="D515" s="9" t="s">
        <v>67</v>
      </c>
      <c r="E515" t="s">
        <v>986</v>
      </c>
      <c r="F515" s="11">
        <v>68010</v>
      </c>
      <c r="G515" s="10">
        <v>2380.3500000000004</v>
      </c>
      <c r="H515" s="10">
        <v>70390.350000000006</v>
      </c>
      <c r="I515" s="9" t="s">
        <v>17</v>
      </c>
      <c r="J515" s="9" t="s">
        <v>28</v>
      </c>
      <c r="K515" s="4">
        <v>3.5000000000000003E-2</v>
      </c>
      <c r="L515" t="str">
        <f>IF(pg_1[[#This Row],[Salary]]&gt;=90000, "Met minimum", "Not met minimum")</f>
        <v>Not met minimum</v>
      </c>
    </row>
    <row r="516" spans="1:12" x14ac:dyDescent="0.25">
      <c r="A516" s="8">
        <v>515</v>
      </c>
      <c r="B516" s="9" t="s">
        <v>586</v>
      </c>
      <c r="C516" s="9" t="s">
        <v>7</v>
      </c>
      <c r="D516" s="9" t="s">
        <v>27</v>
      </c>
      <c r="E516" t="s">
        <v>987</v>
      </c>
      <c r="F516" s="11">
        <v>58030</v>
      </c>
      <c r="G516" s="10">
        <v>3133.62</v>
      </c>
      <c r="H516" s="10">
        <v>61163.62</v>
      </c>
      <c r="I516" s="9" t="s">
        <v>21</v>
      </c>
      <c r="J516" s="9" t="s">
        <v>14</v>
      </c>
      <c r="K516" s="4">
        <v>5.3999999999999999E-2</v>
      </c>
      <c r="L516" t="str">
        <f>IF(pg_1[[#This Row],[Salary]]&gt;=90000, "Met minimum", "Not met minimum")</f>
        <v>Not met minimum</v>
      </c>
    </row>
    <row r="517" spans="1:12" x14ac:dyDescent="0.25">
      <c r="A517" s="8">
        <v>516</v>
      </c>
      <c r="B517" s="9" t="s">
        <v>587</v>
      </c>
      <c r="C517" s="9" t="s">
        <v>7</v>
      </c>
      <c r="D517" s="9" t="s">
        <v>42</v>
      </c>
      <c r="E517" t="s">
        <v>987</v>
      </c>
      <c r="F517" s="11">
        <v>59300</v>
      </c>
      <c r="G517" s="10">
        <v>3498.7</v>
      </c>
      <c r="H517" s="10">
        <v>62798.7</v>
      </c>
      <c r="I517" s="9" t="s">
        <v>21</v>
      </c>
      <c r="J517" s="9" t="s">
        <v>14</v>
      </c>
      <c r="K517" s="4">
        <v>5.8999999999999997E-2</v>
      </c>
      <c r="L517" t="str">
        <f>IF(pg_1[[#This Row],[Salary]]&gt;=90000, "Met minimum", "Not met minimum")</f>
        <v>Not met minimum</v>
      </c>
    </row>
    <row r="518" spans="1:12" x14ac:dyDescent="0.25">
      <c r="A518" s="8">
        <v>517</v>
      </c>
      <c r="B518" s="9" t="s">
        <v>588</v>
      </c>
      <c r="C518" s="9" t="s">
        <v>12</v>
      </c>
      <c r="D518" s="9" t="s">
        <v>37</v>
      </c>
      <c r="E518" t="s">
        <v>987</v>
      </c>
      <c r="F518" s="11">
        <v>51800</v>
      </c>
      <c r="G518" s="10">
        <v>1657.6000000000001</v>
      </c>
      <c r="H518" s="10">
        <v>53457.599999999999</v>
      </c>
      <c r="I518" s="9" t="s">
        <v>17</v>
      </c>
      <c r="J518" s="9" t="s">
        <v>28</v>
      </c>
      <c r="K518" s="4">
        <v>3.2000000000000001E-2</v>
      </c>
      <c r="L518" t="str">
        <f>IF(pg_1[[#This Row],[Salary]]&gt;=90000, "Met minimum", "Not met minimum")</f>
        <v>Not met minimum</v>
      </c>
    </row>
    <row r="519" spans="1:12" x14ac:dyDescent="0.25">
      <c r="A519" s="8">
        <v>518</v>
      </c>
      <c r="B519" s="9" t="s">
        <v>589</v>
      </c>
      <c r="C519" s="9" t="s">
        <v>7</v>
      </c>
      <c r="D519" s="9" t="s">
        <v>53</v>
      </c>
      <c r="E519" t="s">
        <v>987</v>
      </c>
      <c r="F519" s="11">
        <v>57930</v>
      </c>
      <c r="G519" s="10">
        <v>4113.03</v>
      </c>
      <c r="H519" s="10">
        <v>62043.03</v>
      </c>
      <c r="I519" s="9" t="s">
        <v>17</v>
      </c>
      <c r="J519" s="9" t="s">
        <v>10</v>
      </c>
      <c r="K519" s="4">
        <v>7.0999999999999994E-2</v>
      </c>
      <c r="L519" t="str">
        <f>IF(pg_1[[#This Row],[Salary]]&gt;=90000, "Met minimum", "Not met minimum")</f>
        <v>Not met minimum</v>
      </c>
    </row>
    <row r="520" spans="1:12" x14ac:dyDescent="0.25">
      <c r="A520" s="8">
        <v>519</v>
      </c>
      <c r="B520" s="9" t="s">
        <v>590</v>
      </c>
      <c r="C520" s="9" t="s">
        <v>7</v>
      </c>
      <c r="D520" s="9" t="s">
        <v>13</v>
      </c>
      <c r="E520" t="s">
        <v>989</v>
      </c>
      <c r="F520" s="11">
        <v>40530</v>
      </c>
      <c r="G520" s="10">
        <v>1418.5500000000002</v>
      </c>
      <c r="H520" s="10">
        <v>41948.55</v>
      </c>
      <c r="I520" s="9" t="s">
        <v>9</v>
      </c>
      <c r="J520" s="9" t="s">
        <v>28</v>
      </c>
      <c r="K520" s="4">
        <v>3.5000000000000003E-2</v>
      </c>
      <c r="L520" t="str">
        <f>IF(pg_1[[#This Row],[Salary]]&gt;=90000, "Met minimum", "Not met minimum")</f>
        <v>Not met minimum</v>
      </c>
    </row>
    <row r="521" spans="1:12" x14ac:dyDescent="0.25">
      <c r="A521" s="8">
        <v>520</v>
      </c>
      <c r="B521" s="9" t="s">
        <v>591</v>
      </c>
      <c r="C521" s="9" t="s">
        <v>7</v>
      </c>
      <c r="D521" s="9" t="s">
        <v>50</v>
      </c>
      <c r="E521" t="s">
        <v>989</v>
      </c>
      <c r="F521" s="11">
        <v>48290</v>
      </c>
      <c r="G521" s="10">
        <v>1593.5700000000002</v>
      </c>
      <c r="H521" s="10">
        <v>49883.57</v>
      </c>
      <c r="I521" s="9" t="s">
        <v>21</v>
      </c>
      <c r="J521" s="9" t="s">
        <v>28</v>
      </c>
      <c r="K521" s="4">
        <v>3.3000000000000002E-2</v>
      </c>
      <c r="L521" t="str">
        <f>IF(pg_1[[#This Row],[Salary]]&gt;=90000, "Met minimum", "Not met minimum")</f>
        <v>Not met minimum</v>
      </c>
    </row>
    <row r="522" spans="1:12" x14ac:dyDescent="0.25">
      <c r="A522" s="8">
        <v>521</v>
      </c>
      <c r="B522" s="9" t="s">
        <v>593</v>
      </c>
      <c r="C522" s="9" t="s">
        <v>7</v>
      </c>
      <c r="D522" s="9" t="s">
        <v>23</v>
      </c>
      <c r="E522" t="s">
        <v>986</v>
      </c>
      <c r="F522" s="11">
        <v>63720</v>
      </c>
      <c r="G522" s="10">
        <v>4842.72</v>
      </c>
      <c r="H522" s="10">
        <v>68562.720000000001</v>
      </c>
      <c r="I522" s="9" t="s">
        <v>21</v>
      </c>
      <c r="J522" s="9" t="s">
        <v>10</v>
      </c>
      <c r="K522" s="4">
        <v>7.5999999999999998E-2</v>
      </c>
      <c r="L522" t="str">
        <f>IF(pg_1[[#This Row],[Salary]]&gt;=90000, "Met minimum", "Not met minimum")</f>
        <v>Not met minimum</v>
      </c>
    </row>
    <row r="523" spans="1:12" x14ac:dyDescent="0.25">
      <c r="A523" s="8">
        <v>522</v>
      </c>
      <c r="B523" s="9" t="s">
        <v>594</v>
      </c>
      <c r="C523" s="9" t="s">
        <v>7</v>
      </c>
      <c r="D523" s="9" t="s">
        <v>8</v>
      </c>
      <c r="E523" t="s">
        <v>985</v>
      </c>
      <c r="F523" s="11">
        <v>84500</v>
      </c>
      <c r="G523" s="10">
        <v>1774.5</v>
      </c>
      <c r="H523" s="10">
        <v>86274.5</v>
      </c>
      <c r="I523" s="9" t="s">
        <v>21</v>
      </c>
      <c r="J523" s="9" t="s">
        <v>28</v>
      </c>
      <c r="K523" s="4">
        <v>2.1000000000000001E-2</v>
      </c>
      <c r="L523" t="str">
        <f>IF(pg_1[[#This Row],[Salary]]&gt;=90000, "Met minimum", "Not met minimum")</f>
        <v>Not met minimum</v>
      </c>
    </row>
    <row r="524" spans="1:12" x14ac:dyDescent="0.25">
      <c r="A524" s="8">
        <v>523</v>
      </c>
      <c r="B524" s="9" t="s">
        <v>595</v>
      </c>
      <c r="C524" s="9" t="s">
        <v>7</v>
      </c>
      <c r="D524" s="9" t="s">
        <v>53</v>
      </c>
      <c r="E524" t="s">
        <v>986</v>
      </c>
      <c r="F524" s="11">
        <v>67430</v>
      </c>
      <c r="G524" s="10">
        <v>1348.6000000000001</v>
      </c>
      <c r="H524" s="10">
        <v>68778.600000000006</v>
      </c>
      <c r="I524" s="9" t="s">
        <v>21</v>
      </c>
      <c r="J524" s="9" t="s">
        <v>28</v>
      </c>
      <c r="K524" s="4">
        <v>0.02</v>
      </c>
      <c r="L524" t="str">
        <f>IF(pg_1[[#This Row],[Salary]]&gt;=90000, "Met minimum", "Not met minimum")</f>
        <v>Not met minimum</v>
      </c>
    </row>
    <row r="525" spans="1:12" x14ac:dyDescent="0.25">
      <c r="A525" s="8">
        <v>524</v>
      </c>
      <c r="B525" s="9" t="s">
        <v>596</v>
      </c>
      <c r="C525" s="9" t="s">
        <v>7</v>
      </c>
      <c r="D525" s="9" t="s">
        <v>23</v>
      </c>
      <c r="E525" t="s">
        <v>988</v>
      </c>
      <c r="F525" s="11">
        <v>109120</v>
      </c>
      <c r="G525" s="10">
        <v>0</v>
      </c>
      <c r="H525" s="10">
        <v>109120</v>
      </c>
      <c r="I525" s="9" t="s">
        <v>21</v>
      </c>
      <c r="J525" s="9" t="s">
        <v>18</v>
      </c>
      <c r="K525" s="4">
        <v>0</v>
      </c>
      <c r="L525" t="str">
        <f>IF(pg_1[[#This Row],[Salary]]&gt;=90000, "Met minimum", "Not met minimum")</f>
        <v>Met minimum</v>
      </c>
    </row>
    <row r="526" spans="1:12" x14ac:dyDescent="0.25">
      <c r="A526" s="8">
        <v>525</v>
      </c>
      <c r="B526" s="9" t="s">
        <v>597</v>
      </c>
      <c r="C526" s="9" t="s">
        <v>7</v>
      </c>
      <c r="D526" s="9" t="s">
        <v>34</v>
      </c>
      <c r="E526" t="s">
        <v>986</v>
      </c>
      <c r="F526" s="11">
        <v>69760</v>
      </c>
      <c r="G526" s="10">
        <v>1674.24</v>
      </c>
      <c r="H526" s="10">
        <v>71434.240000000005</v>
      </c>
      <c r="I526" s="9" t="s">
        <v>21</v>
      </c>
      <c r="J526" s="9" t="s">
        <v>28</v>
      </c>
      <c r="K526" s="4">
        <v>2.4E-2</v>
      </c>
      <c r="L526" t="str">
        <f>IF(pg_1[[#This Row],[Salary]]&gt;=90000, "Met minimum", "Not met minimum")</f>
        <v>Not met minimum</v>
      </c>
    </row>
    <row r="527" spans="1:12" x14ac:dyDescent="0.25">
      <c r="A527" s="8">
        <v>526</v>
      </c>
      <c r="B527" s="9" t="s">
        <v>598</v>
      </c>
      <c r="C527" s="9" t="s">
        <v>12</v>
      </c>
      <c r="D527" s="9" t="s">
        <v>31</v>
      </c>
      <c r="E527" t="s">
        <v>989</v>
      </c>
      <c r="F527" s="11">
        <v>45600</v>
      </c>
      <c r="G527" s="10">
        <v>0</v>
      </c>
      <c r="H527" s="10">
        <v>45600</v>
      </c>
      <c r="I527" s="9" t="s">
        <v>21</v>
      </c>
      <c r="J527" s="9" t="s">
        <v>18</v>
      </c>
      <c r="K527" s="4">
        <v>0</v>
      </c>
      <c r="L527" t="str">
        <f>IF(pg_1[[#This Row],[Salary]]&gt;=90000, "Met minimum", "Not met minimum")</f>
        <v>Not met minimum</v>
      </c>
    </row>
    <row r="528" spans="1:12" x14ac:dyDescent="0.25">
      <c r="A528" s="8">
        <v>527</v>
      </c>
      <c r="B528" s="9" t="s">
        <v>599</v>
      </c>
      <c r="C528" s="9" t="s">
        <v>12</v>
      </c>
      <c r="D528" s="9" t="s">
        <v>34</v>
      </c>
      <c r="E528" t="s">
        <v>990</v>
      </c>
      <c r="F528" s="11">
        <v>33030</v>
      </c>
      <c r="G528" s="10">
        <v>1651.5</v>
      </c>
      <c r="H528" s="10">
        <v>34681.5</v>
      </c>
      <c r="I528" s="9" t="s">
        <v>9</v>
      </c>
      <c r="J528" s="9" t="s">
        <v>14</v>
      </c>
      <c r="K528" s="4">
        <v>0.05</v>
      </c>
      <c r="L528" t="str">
        <f>IF(pg_1[[#This Row],[Salary]]&gt;=90000, "Met minimum", "Not met minimum")</f>
        <v>Not met minimum</v>
      </c>
    </row>
    <row r="529" spans="1:12" x14ac:dyDescent="0.25">
      <c r="A529" s="8">
        <v>528</v>
      </c>
      <c r="B529" s="9" t="s">
        <v>600</v>
      </c>
      <c r="C529" s="9" t="s">
        <v>7</v>
      </c>
      <c r="D529" s="9" t="s">
        <v>34</v>
      </c>
      <c r="E529" t="s">
        <v>985</v>
      </c>
      <c r="F529" s="11">
        <v>80170</v>
      </c>
      <c r="G529" s="10">
        <v>1924.08</v>
      </c>
      <c r="H529" s="10">
        <v>82094.080000000002</v>
      </c>
      <c r="I529" s="9" t="s">
        <v>9</v>
      </c>
      <c r="J529" s="9" t="s">
        <v>28</v>
      </c>
      <c r="K529" s="4">
        <v>2.4E-2</v>
      </c>
      <c r="L529" t="str">
        <f>IF(pg_1[[#This Row],[Salary]]&gt;=90000, "Met minimum", "Not met minimum")</f>
        <v>Not met minimum</v>
      </c>
    </row>
    <row r="530" spans="1:12" x14ac:dyDescent="0.25">
      <c r="A530" s="8">
        <v>529</v>
      </c>
      <c r="B530" s="9" t="s">
        <v>601</v>
      </c>
      <c r="C530" s="9" t="s">
        <v>7</v>
      </c>
      <c r="D530" s="9" t="s">
        <v>42</v>
      </c>
      <c r="E530" t="s">
        <v>989</v>
      </c>
      <c r="F530" s="11">
        <v>43510</v>
      </c>
      <c r="G530" s="10">
        <v>1740.4</v>
      </c>
      <c r="H530" s="10">
        <v>45250.400000000001</v>
      </c>
      <c r="I530" s="9" t="s">
        <v>21</v>
      </c>
      <c r="J530" s="9" t="s">
        <v>28</v>
      </c>
      <c r="K530" s="4">
        <v>0.04</v>
      </c>
      <c r="L530" t="str">
        <f>IF(pg_1[[#This Row],[Salary]]&gt;=90000, "Met minimum", "Not met minimum")</f>
        <v>Not met minimum</v>
      </c>
    </row>
    <row r="531" spans="1:12" x14ac:dyDescent="0.25">
      <c r="A531" s="8">
        <v>530</v>
      </c>
      <c r="B531" s="9" t="s">
        <v>602</v>
      </c>
      <c r="C531" s="9" t="s">
        <v>12</v>
      </c>
      <c r="D531" s="9" t="s">
        <v>8</v>
      </c>
      <c r="E531" t="s">
        <v>989</v>
      </c>
      <c r="F531" s="11">
        <v>49390</v>
      </c>
      <c r="G531" s="10">
        <v>1037.19</v>
      </c>
      <c r="H531" s="10">
        <v>50427.19</v>
      </c>
      <c r="I531" s="9" t="s">
        <v>9</v>
      </c>
      <c r="J531" s="9" t="s">
        <v>28</v>
      </c>
      <c r="K531" s="4">
        <v>2.1000000000000001E-2</v>
      </c>
      <c r="L531" t="str">
        <f>IF(pg_1[[#This Row],[Salary]]&gt;=90000, "Met minimum", "Not met minimum")</f>
        <v>Not met minimum</v>
      </c>
    </row>
    <row r="532" spans="1:12" x14ac:dyDescent="0.25">
      <c r="A532" s="8">
        <v>531</v>
      </c>
      <c r="B532" s="9" t="s">
        <v>603</v>
      </c>
      <c r="C532" s="9" t="s">
        <v>12</v>
      </c>
      <c r="D532" s="9" t="s">
        <v>50</v>
      </c>
      <c r="E532" t="s">
        <v>989</v>
      </c>
      <c r="F532" s="11">
        <v>47910</v>
      </c>
      <c r="G532" s="10">
        <v>1581.03</v>
      </c>
      <c r="H532" s="10">
        <v>49491.03</v>
      </c>
      <c r="I532" s="9" t="s">
        <v>21</v>
      </c>
      <c r="J532" s="9" t="s">
        <v>28</v>
      </c>
      <c r="K532" s="4">
        <v>3.3000000000000002E-2</v>
      </c>
      <c r="L532" t="str">
        <f>IF(pg_1[[#This Row],[Salary]]&gt;=90000, "Met minimum", "Not met minimum")</f>
        <v>Not met minimum</v>
      </c>
    </row>
    <row r="533" spans="1:12" x14ac:dyDescent="0.25">
      <c r="A533" s="8">
        <v>532</v>
      </c>
      <c r="B533" s="9" t="s">
        <v>604</v>
      </c>
      <c r="C533" s="9" t="s">
        <v>7</v>
      </c>
      <c r="D533" s="9" t="s">
        <v>8</v>
      </c>
      <c r="E533" t="s">
        <v>990</v>
      </c>
      <c r="F533" s="11">
        <v>35740</v>
      </c>
      <c r="G533" s="10">
        <v>1822.7399999999998</v>
      </c>
      <c r="H533" s="10">
        <v>37562.74</v>
      </c>
      <c r="I533" s="9" t="s">
        <v>21</v>
      </c>
      <c r="J533" s="9" t="s">
        <v>14</v>
      </c>
      <c r="K533" s="4">
        <v>5.0999999999999997E-2</v>
      </c>
      <c r="L533" t="str">
        <f>IF(pg_1[[#This Row],[Salary]]&gt;=90000, "Met minimum", "Not met minimum")</f>
        <v>Not met minimum</v>
      </c>
    </row>
    <row r="534" spans="1:12" x14ac:dyDescent="0.25">
      <c r="A534" s="8">
        <v>533</v>
      </c>
      <c r="B534" s="9" t="s">
        <v>605</v>
      </c>
      <c r="C534" s="9" t="s">
        <v>7</v>
      </c>
      <c r="D534" s="9" t="s">
        <v>23</v>
      </c>
      <c r="E534" t="s">
        <v>989</v>
      </c>
      <c r="F534" s="11">
        <v>42240</v>
      </c>
      <c r="G534" s="10">
        <v>3210.24</v>
      </c>
      <c r="H534" s="10">
        <v>45450.239999999998</v>
      </c>
      <c r="I534" s="9" t="s">
        <v>17</v>
      </c>
      <c r="J534" s="9" t="s">
        <v>10</v>
      </c>
      <c r="K534" s="4">
        <v>7.5999999999999998E-2</v>
      </c>
      <c r="L534" t="str">
        <f>IF(pg_1[[#This Row],[Salary]]&gt;=90000, "Met minimum", "Not met minimum")</f>
        <v>Not met minimum</v>
      </c>
    </row>
    <row r="535" spans="1:12" x14ac:dyDescent="0.25">
      <c r="A535" s="8">
        <v>534</v>
      </c>
      <c r="B535" s="9" t="s">
        <v>606</v>
      </c>
      <c r="C535" s="9" t="s">
        <v>12</v>
      </c>
      <c r="D535" s="9" t="s">
        <v>31</v>
      </c>
      <c r="E535" t="s">
        <v>991</v>
      </c>
      <c r="F535" s="11">
        <v>117150</v>
      </c>
      <c r="G535" s="10">
        <v>2694.45</v>
      </c>
      <c r="H535" s="10">
        <v>119844.45</v>
      </c>
      <c r="I535" s="9" t="s">
        <v>9</v>
      </c>
      <c r="J535" s="9" t="s">
        <v>28</v>
      </c>
      <c r="K535" s="4">
        <v>2.3E-2</v>
      </c>
      <c r="L535" t="str">
        <f>IF(pg_1[[#This Row],[Salary]]&gt;=90000, "Met minimum", "Not met minimum")</f>
        <v>Met minimum</v>
      </c>
    </row>
    <row r="536" spans="1:12" x14ac:dyDescent="0.25">
      <c r="A536" s="8">
        <v>535</v>
      </c>
      <c r="B536" s="9" t="s">
        <v>607</v>
      </c>
      <c r="C536" s="9" t="s">
        <v>7</v>
      </c>
      <c r="D536" s="9" t="s">
        <v>13</v>
      </c>
      <c r="E536" t="s">
        <v>990</v>
      </c>
      <c r="F536" s="11">
        <v>36540</v>
      </c>
      <c r="G536" s="10">
        <v>1571.2199999999998</v>
      </c>
      <c r="H536" s="10">
        <v>38111.22</v>
      </c>
      <c r="I536" s="9" t="s">
        <v>21</v>
      </c>
      <c r="J536" s="9" t="s">
        <v>14</v>
      </c>
      <c r="K536" s="4">
        <v>4.2999999999999997E-2</v>
      </c>
      <c r="L536" t="str">
        <f>IF(pg_1[[#This Row],[Salary]]&gt;=90000, "Met minimum", "Not met minimum")</f>
        <v>Not met minimum</v>
      </c>
    </row>
    <row r="537" spans="1:12" x14ac:dyDescent="0.25">
      <c r="A537" s="8">
        <v>536</v>
      </c>
      <c r="B537" s="9" t="s">
        <v>608</v>
      </c>
      <c r="C537" s="9" t="s">
        <v>970</v>
      </c>
      <c r="D537" s="9" t="s">
        <v>50</v>
      </c>
      <c r="E537" t="s">
        <v>985</v>
      </c>
      <c r="F537" s="11">
        <v>87290</v>
      </c>
      <c r="G537" s="10">
        <v>4713.66</v>
      </c>
      <c r="H537" s="10">
        <v>92003.66</v>
      </c>
      <c r="I537" s="9" t="s">
        <v>21</v>
      </c>
      <c r="J537" s="9" t="s">
        <v>14</v>
      </c>
      <c r="K537" s="4">
        <v>5.3999999999999999E-2</v>
      </c>
      <c r="L537" t="str">
        <f>IF(pg_1[[#This Row],[Salary]]&gt;=90000, "Met minimum", "Not met minimum")</f>
        <v>Not met minimum</v>
      </c>
    </row>
    <row r="538" spans="1:12" x14ac:dyDescent="0.25">
      <c r="A538" s="8">
        <v>537</v>
      </c>
      <c r="B538" s="9" t="s">
        <v>609</v>
      </c>
      <c r="C538" s="9" t="s">
        <v>12</v>
      </c>
      <c r="D538" s="9" t="s">
        <v>50</v>
      </c>
      <c r="E538" t="s">
        <v>985</v>
      </c>
      <c r="F538" s="11">
        <v>85720</v>
      </c>
      <c r="G538" s="10">
        <v>2828.76</v>
      </c>
      <c r="H538" s="10">
        <v>88548.76</v>
      </c>
      <c r="I538" s="9" t="s">
        <v>17</v>
      </c>
      <c r="J538" s="9" t="s">
        <v>28</v>
      </c>
      <c r="K538" s="4">
        <v>3.3000000000000002E-2</v>
      </c>
      <c r="L538" t="str">
        <f>IF(pg_1[[#This Row],[Salary]]&gt;=90000, "Met minimum", "Not met minimum")</f>
        <v>Not met minimum</v>
      </c>
    </row>
    <row r="539" spans="1:12" x14ac:dyDescent="0.25">
      <c r="A539" s="8">
        <v>538</v>
      </c>
      <c r="B539" s="9" t="s">
        <v>610</v>
      </c>
      <c r="C539" s="9" t="s">
        <v>970</v>
      </c>
      <c r="D539" s="9" t="s">
        <v>13</v>
      </c>
      <c r="E539" t="s">
        <v>990</v>
      </c>
      <c r="F539" s="11">
        <v>34620</v>
      </c>
      <c r="G539" s="10">
        <v>2111.8200000000002</v>
      </c>
      <c r="H539" s="10">
        <v>36731.82</v>
      </c>
      <c r="I539" s="9" t="s">
        <v>21</v>
      </c>
      <c r="J539" s="9" t="s">
        <v>10</v>
      </c>
      <c r="K539" s="4">
        <v>6.0999999999999999E-2</v>
      </c>
      <c r="L539" t="str">
        <f>IF(pg_1[[#This Row],[Salary]]&gt;=90000, "Met minimum", "Not met minimum")</f>
        <v>Not met minimum</v>
      </c>
    </row>
    <row r="540" spans="1:12" x14ac:dyDescent="0.25">
      <c r="A540" s="8">
        <v>539</v>
      </c>
      <c r="B540" s="9" t="s">
        <v>611</v>
      </c>
      <c r="C540" s="9" t="s">
        <v>7</v>
      </c>
      <c r="D540" s="9" t="s">
        <v>42</v>
      </c>
      <c r="E540" t="s">
        <v>986</v>
      </c>
      <c r="F540" s="11">
        <v>62690</v>
      </c>
      <c r="G540" s="10">
        <v>1191.1099999999999</v>
      </c>
      <c r="H540" s="10">
        <v>63881.11</v>
      </c>
      <c r="I540" s="9" t="s">
        <v>9</v>
      </c>
      <c r="J540" s="9" t="s">
        <v>24</v>
      </c>
      <c r="K540" s="4">
        <v>1.9E-2</v>
      </c>
      <c r="L540" t="str">
        <f>IF(pg_1[[#This Row],[Salary]]&gt;=90000, "Met minimum", "Not met minimum")</f>
        <v>Not met minimum</v>
      </c>
    </row>
    <row r="541" spans="1:12" x14ac:dyDescent="0.25">
      <c r="A541" s="8">
        <v>540</v>
      </c>
      <c r="B541" s="9" t="s">
        <v>612</v>
      </c>
      <c r="C541" s="9" t="s">
        <v>12</v>
      </c>
      <c r="D541" s="9" t="s">
        <v>50</v>
      </c>
      <c r="E541" t="s">
        <v>990</v>
      </c>
      <c r="F541" s="11">
        <v>30250</v>
      </c>
      <c r="G541" s="10">
        <v>998.25</v>
      </c>
      <c r="H541" s="10">
        <v>31248.25</v>
      </c>
      <c r="I541" s="9" t="s">
        <v>21</v>
      </c>
      <c r="J541" s="9" t="s">
        <v>28</v>
      </c>
      <c r="K541" s="4">
        <v>3.3000000000000002E-2</v>
      </c>
      <c r="L541" t="str">
        <f>IF(pg_1[[#This Row],[Salary]]&gt;=90000, "Met minimum", "Not met minimum")</f>
        <v>Not met minimum</v>
      </c>
    </row>
    <row r="542" spans="1:12" x14ac:dyDescent="0.25">
      <c r="A542" s="8">
        <v>541</v>
      </c>
      <c r="B542" s="9" t="s">
        <v>613</v>
      </c>
      <c r="C542" s="9" t="s">
        <v>7</v>
      </c>
      <c r="D542" s="9" t="s">
        <v>34</v>
      </c>
      <c r="E542" t="s">
        <v>993</v>
      </c>
      <c r="F542" s="11">
        <v>29530</v>
      </c>
      <c r="G542" s="10">
        <v>0</v>
      </c>
      <c r="H542" s="10">
        <v>29530</v>
      </c>
      <c r="I542" s="9" t="s">
        <v>9</v>
      </c>
      <c r="J542" s="9" t="s">
        <v>18</v>
      </c>
      <c r="K542" s="4">
        <v>0</v>
      </c>
      <c r="L542" t="str">
        <f>IF(pg_1[[#This Row],[Salary]]&gt;=90000, "Met minimum", "Not met minimum")</f>
        <v>Not met minimum</v>
      </c>
    </row>
    <row r="543" spans="1:12" x14ac:dyDescent="0.25">
      <c r="A543" s="8">
        <v>542</v>
      </c>
      <c r="B543" s="9" t="s">
        <v>614</v>
      </c>
      <c r="C543" s="9" t="s">
        <v>7</v>
      </c>
      <c r="D543" s="9" t="s">
        <v>34</v>
      </c>
      <c r="E543" t="s">
        <v>988</v>
      </c>
      <c r="F543" s="11">
        <v>103160</v>
      </c>
      <c r="G543" s="10">
        <v>5158</v>
      </c>
      <c r="H543" s="10">
        <v>108318</v>
      </c>
      <c r="I543" s="9" t="s">
        <v>21</v>
      </c>
      <c r="J543" s="9" t="s">
        <v>14</v>
      </c>
      <c r="K543" s="4">
        <v>0.05</v>
      </c>
      <c r="L543" t="str">
        <f>IF(pg_1[[#This Row],[Salary]]&gt;=90000, "Met minimum", "Not met minimum")</f>
        <v>Met minimum</v>
      </c>
    </row>
    <row r="544" spans="1:12" x14ac:dyDescent="0.25">
      <c r="A544" s="8">
        <v>543</v>
      </c>
      <c r="B544" s="9" t="s">
        <v>615</v>
      </c>
      <c r="C544" s="9" t="s">
        <v>12</v>
      </c>
      <c r="D544" s="9" t="s">
        <v>20</v>
      </c>
      <c r="E544" t="s">
        <v>988</v>
      </c>
      <c r="F544" s="11">
        <v>109790</v>
      </c>
      <c r="G544" s="10">
        <v>2305.59</v>
      </c>
      <c r="H544" s="10">
        <v>112095.59</v>
      </c>
      <c r="I544" s="9" t="s">
        <v>21</v>
      </c>
      <c r="J544" s="9" t="s">
        <v>28</v>
      </c>
      <c r="K544" s="4">
        <v>2.1000000000000001E-2</v>
      </c>
      <c r="L544" t="str">
        <f>IF(pg_1[[#This Row],[Salary]]&gt;=90000, "Met minimum", "Not met minimum")</f>
        <v>Met minimum</v>
      </c>
    </row>
    <row r="545" spans="1:12" x14ac:dyDescent="0.25">
      <c r="A545" s="8">
        <v>544</v>
      </c>
      <c r="B545" s="9" t="s">
        <v>616</v>
      </c>
      <c r="C545" s="9" t="s">
        <v>12</v>
      </c>
      <c r="D545" s="9" t="s">
        <v>53</v>
      </c>
      <c r="E545" t="s">
        <v>990</v>
      </c>
      <c r="F545" s="11">
        <v>33760</v>
      </c>
      <c r="G545" s="10">
        <v>675.2</v>
      </c>
      <c r="H545" s="10">
        <v>34435.199999999997</v>
      </c>
      <c r="I545" s="9" t="s">
        <v>17</v>
      </c>
      <c r="J545" s="9" t="s">
        <v>28</v>
      </c>
      <c r="K545" s="4">
        <v>0.02</v>
      </c>
      <c r="L545" t="str">
        <f>IF(pg_1[[#This Row],[Salary]]&gt;=90000, "Met minimum", "Not met minimum")</f>
        <v>Not met minimum</v>
      </c>
    </row>
    <row r="546" spans="1:12" x14ac:dyDescent="0.25">
      <c r="A546" s="8">
        <v>545</v>
      </c>
      <c r="B546" s="9" t="s">
        <v>617</v>
      </c>
      <c r="C546" s="9" t="s">
        <v>12</v>
      </c>
      <c r="D546" s="9" t="s">
        <v>20</v>
      </c>
      <c r="E546" t="s">
        <v>990</v>
      </c>
      <c r="F546" s="11">
        <v>36740</v>
      </c>
      <c r="G546" s="10">
        <v>771.54000000000008</v>
      </c>
      <c r="H546" s="10">
        <v>37511.54</v>
      </c>
      <c r="I546" s="9" t="s">
        <v>21</v>
      </c>
      <c r="J546" s="9" t="s">
        <v>28</v>
      </c>
      <c r="K546" s="4">
        <v>2.1000000000000001E-2</v>
      </c>
      <c r="L546" t="str">
        <f>IF(pg_1[[#This Row],[Salary]]&gt;=90000, "Met minimum", "Not met minimum")</f>
        <v>Not met minimum</v>
      </c>
    </row>
    <row r="547" spans="1:12" x14ac:dyDescent="0.25">
      <c r="A547" s="8">
        <v>546</v>
      </c>
      <c r="B547" s="9" t="s">
        <v>618</v>
      </c>
      <c r="C547" s="9" t="s">
        <v>7</v>
      </c>
      <c r="D547" s="9" t="s">
        <v>37</v>
      </c>
      <c r="E547" t="s">
        <v>990</v>
      </c>
      <c r="F547" s="11">
        <v>31240</v>
      </c>
      <c r="G547" s="10">
        <v>312.40000000000003</v>
      </c>
      <c r="H547" s="10">
        <v>31552.400000000001</v>
      </c>
      <c r="I547" s="9" t="s">
        <v>17</v>
      </c>
      <c r="J547" s="9" t="s">
        <v>24</v>
      </c>
      <c r="K547" s="4">
        <v>0.01</v>
      </c>
      <c r="L547" t="str">
        <f>IF(pg_1[[#This Row],[Salary]]&gt;=90000, "Met minimum", "Not met minimum")</f>
        <v>Not met minimum</v>
      </c>
    </row>
    <row r="548" spans="1:12" x14ac:dyDescent="0.25">
      <c r="A548" s="8">
        <v>547</v>
      </c>
      <c r="B548" s="9" t="s">
        <v>619</v>
      </c>
      <c r="C548" s="9" t="s">
        <v>12</v>
      </c>
      <c r="D548" s="9" t="s">
        <v>20</v>
      </c>
      <c r="E548" t="s">
        <v>992</v>
      </c>
      <c r="F548" s="11">
        <v>75730</v>
      </c>
      <c r="G548" s="10">
        <v>0</v>
      </c>
      <c r="H548" s="10">
        <v>75730</v>
      </c>
      <c r="I548" s="9" t="s">
        <v>21</v>
      </c>
      <c r="J548" s="9" t="s">
        <v>18</v>
      </c>
      <c r="K548" s="4">
        <v>0</v>
      </c>
      <c r="L548" t="str">
        <f>IF(pg_1[[#This Row],[Salary]]&gt;=90000, "Met minimum", "Not met minimum")</f>
        <v>Not met minimum</v>
      </c>
    </row>
    <row r="549" spans="1:12" x14ac:dyDescent="0.25">
      <c r="A549" s="8">
        <v>548</v>
      </c>
      <c r="B549" s="9" t="s">
        <v>620</v>
      </c>
      <c r="C549" s="9" t="s">
        <v>7</v>
      </c>
      <c r="D549" s="9" t="s">
        <v>13</v>
      </c>
      <c r="E549" t="s">
        <v>987</v>
      </c>
      <c r="F549" s="11">
        <v>50860</v>
      </c>
      <c r="G549" s="10">
        <v>0</v>
      </c>
      <c r="H549" s="10">
        <v>50860</v>
      </c>
      <c r="I549" s="9" t="s">
        <v>17</v>
      </c>
      <c r="J549" s="9" t="s">
        <v>18</v>
      </c>
      <c r="K549" s="4">
        <v>0</v>
      </c>
      <c r="L549" t="str">
        <f>IF(pg_1[[#This Row],[Salary]]&gt;=90000, "Met minimum", "Not met minimum")</f>
        <v>Not met minimum</v>
      </c>
    </row>
    <row r="550" spans="1:12" x14ac:dyDescent="0.25">
      <c r="A550" s="8">
        <v>549</v>
      </c>
      <c r="B550" s="9" t="s">
        <v>621</v>
      </c>
      <c r="C550" s="9" t="s">
        <v>12</v>
      </c>
      <c r="D550" s="9" t="s">
        <v>31</v>
      </c>
      <c r="E550" t="s">
        <v>985</v>
      </c>
      <c r="F550" s="11">
        <v>84200</v>
      </c>
      <c r="G550" s="10">
        <v>4462.5999999999995</v>
      </c>
      <c r="H550" s="10">
        <v>88662.6</v>
      </c>
      <c r="I550" s="9" t="s">
        <v>17</v>
      </c>
      <c r="J550" s="9" t="s">
        <v>14</v>
      </c>
      <c r="K550" s="4">
        <v>5.2999999999999999E-2</v>
      </c>
      <c r="L550" t="str">
        <f>IF(pg_1[[#This Row],[Salary]]&gt;=90000, "Met minimum", "Not met minimum")</f>
        <v>Not met minimum</v>
      </c>
    </row>
    <row r="551" spans="1:12" x14ac:dyDescent="0.25">
      <c r="A551" s="8">
        <v>550</v>
      </c>
      <c r="B551" s="9" t="s">
        <v>622</v>
      </c>
      <c r="C551" s="9" t="s">
        <v>12</v>
      </c>
      <c r="D551" s="9" t="s">
        <v>20</v>
      </c>
      <c r="E551" t="s">
        <v>994</v>
      </c>
      <c r="F551" s="11">
        <v>95980</v>
      </c>
      <c r="G551" s="10">
        <v>2015.5800000000002</v>
      </c>
      <c r="H551" s="10">
        <v>97995.58</v>
      </c>
      <c r="I551" s="9" t="s">
        <v>9</v>
      </c>
      <c r="J551" s="9" t="s">
        <v>28</v>
      </c>
      <c r="K551" s="4">
        <v>2.1000000000000001E-2</v>
      </c>
      <c r="L551" t="str">
        <f>IF(pg_1[[#This Row],[Salary]]&gt;=90000, "Met minimum", "Not met minimum")</f>
        <v>Met minimum</v>
      </c>
    </row>
    <row r="552" spans="1:12" x14ac:dyDescent="0.25">
      <c r="A552" s="8">
        <v>551</v>
      </c>
      <c r="B552" s="9" t="s">
        <v>623</v>
      </c>
      <c r="C552" s="9" t="s">
        <v>12</v>
      </c>
      <c r="D552" s="9" t="s">
        <v>37</v>
      </c>
      <c r="E552" t="s">
        <v>986</v>
      </c>
      <c r="F552" s="11">
        <v>65920</v>
      </c>
      <c r="G552" s="10">
        <v>2702.7200000000003</v>
      </c>
      <c r="H552" s="10">
        <v>68622.720000000001</v>
      </c>
      <c r="I552" s="9" t="s">
        <v>21</v>
      </c>
      <c r="J552" s="9" t="s">
        <v>14</v>
      </c>
      <c r="K552" s="4">
        <v>4.1000000000000002E-2</v>
      </c>
      <c r="L552" t="str">
        <f>IF(pg_1[[#This Row],[Salary]]&gt;=90000, "Met minimum", "Not met minimum")</f>
        <v>Not met minimum</v>
      </c>
    </row>
    <row r="553" spans="1:12" x14ac:dyDescent="0.25">
      <c r="A553" s="8">
        <v>552</v>
      </c>
      <c r="B553" s="9" t="s">
        <v>624</v>
      </c>
      <c r="C553" s="9" t="s">
        <v>7</v>
      </c>
      <c r="D553" s="9" t="s">
        <v>20</v>
      </c>
      <c r="E553" t="s">
        <v>991</v>
      </c>
      <c r="F553" s="11">
        <v>113620</v>
      </c>
      <c r="G553" s="10">
        <v>2158.7799999999997</v>
      </c>
      <c r="H553" s="10">
        <v>115778.78</v>
      </c>
      <c r="I553" s="9" t="s">
        <v>9</v>
      </c>
      <c r="J553" s="9" t="s">
        <v>24</v>
      </c>
      <c r="K553" s="4">
        <v>1.9E-2</v>
      </c>
      <c r="L553" t="str">
        <f>IF(pg_1[[#This Row],[Salary]]&gt;=90000, "Met minimum", "Not met minimum")</f>
        <v>Met minimum</v>
      </c>
    </row>
    <row r="554" spans="1:12" x14ac:dyDescent="0.25">
      <c r="A554" s="8">
        <v>553</v>
      </c>
      <c r="B554" s="9" t="s">
        <v>625</v>
      </c>
      <c r="C554" s="9" t="s">
        <v>7</v>
      </c>
      <c r="D554" s="9" t="s">
        <v>8</v>
      </c>
      <c r="E554" t="s">
        <v>986</v>
      </c>
      <c r="F554" s="11">
        <v>60140</v>
      </c>
      <c r="G554" s="10">
        <v>1262.94</v>
      </c>
      <c r="H554" s="10">
        <v>61402.94</v>
      </c>
      <c r="I554" s="9" t="s">
        <v>17</v>
      </c>
      <c r="J554" s="9" t="s">
        <v>28</v>
      </c>
      <c r="K554" s="4">
        <v>2.1000000000000001E-2</v>
      </c>
      <c r="L554" t="str">
        <f>IF(pg_1[[#This Row],[Salary]]&gt;=90000, "Met minimum", "Not met minimum")</f>
        <v>Not met minimum</v>
      </c>
    </row>
    <row r="555" spans="1:12" x14ac:dyDescent="0.25">
      <c r="A555" s="8">
        <v>554</v>
      </c>
      <c r="B555" s="9" t="s">
        <v>626</v>
      </c>
      <c r="C555" s="9" t="s">
        <v>12</v>
      </c>
      <c r="D555" s="9" t="s">
        <v>50</v>
      </c>
      <c r="E555" t="s">
        <v>994</v>
      </c>
      <c r="F555" s="11">
        <v>92450</v>
      </c>
      <c r="G555" s="10">
        <v>0</v>
      </c>
      <c r="H555" s="10">
        <v>92450</v>
      </c>
      <c r="I555" s="9" t="s">
        <v>21</v>
      </c>
      <c r="J555" s="9" t="s">
        <v>18</v>
      </c>
      <c r="K555" s="4">
        <v>0</v>
      </c>
      <c r="L555" t="str">
        <f>IF(pg_1[[#This Row],[Salary]]&gt;=90000, "Met minimum", "Not met minimum")</f>
        <v>Met minimum</v>
      </c>
    </row>
    <row r="556" spans="1:12" x14ac:dyDescent="0.25">
      <c r="A556" s="8">
        <v>555</v>
      </c>
      <c r="B556" s="9" t="s">
        <v>627</v>
      </c>
      <c r="C556" s="9" t="s">
        <v>7</v>
      </c>
      <c r="D556" s="9" t="s">
        <v>27</v>
      </c>
      <c r="E556" t="s">
        <v>990</v>
      </c>
      <c r="F556" s="11">
        <v>34650</v>
      </c>
      <c r="G556" s="10">
        <v>935.55</v>
      </c>
      <c r="H556" s="10">
        <v>35585.550000000003</v>
      </c>
      <c r="I556" s="9" t="s">
        <v>17</v>
      </c>
      <c r="J556" s="9" t="s">
        <v>28</v>
      </c>
      <c r="K556" s="4">
        <v>2.7E-2</v>
      </c>
      <c r="L556" t="str">
        <f>IF(pg_1[[#This Row],[Salary]]&gt;=90000, "Met minimum", "Not met minimum")</f>
        <v>Not met minimum</v>
      </c>
    </row>
    <row r="557" spans="1:12" x14ac:dyDescent="0.25">
      <c r="A557" s="8">
        <v>556</v>
      </c>
      <c r="B557" s="9" t="s">
        <v>628</v>
      </c>
      <c r="C557" s="9" t="s">
        <v>7</v>
      </c>
      <c r="D557" s="9" t="s">
        <v>31</v>
      </c>
      <c r="E557" t="s">
        <v>985</v>
      </c>
      <c r="F557" s="11">
        <v>84740</v>
      </c>
      <c r="G557" s="10">
        <v>1949.02</v>
      </c>
      <c r="H557" s="10">
        <v>86689.02</v>
      </c>
      <c r="I557" s="9" t="s">
        <v>9</v>
      </c>
      <c r="J557" s="9" t="s">
        <v>28</v>
      </c>
      <c r="K557" s="4">
        <v>2.3E-2</v>
      </c>
      <c r="L557" t="str">
        <f>IF(pg_1[[#This Row],[Salary]]&gt;=90000, "Met minimum", "Not met minimum")</f>
        <v>Not met minimum</v>
      </c>
    </row>
    <row r="558" spans="1:12" x14ac:dyDescent="0.25">
      <c r="A558" s="8">
        <v>557</v>
      </c>
      <c r="B558" s="9" t="s">
        <v>629</v>
      </c>
      <c r="C558" s="9" t="s">
        <v>12</v>
      </c>
      <c r="D558" s="9" t="s">
        <v>34</v>
      </c>
      <c r="E558" t="s">
        <v>985</v>
      </c>
      <c r="F558" s="11">
        <v>88360</v>
      </c>
      <c r="G558" s="10">
        <v>2120.64</v>
      </c>
      <c r="H558" s="10">
        <v>90480.639999999999</v>
      </c>
      <c r="I558" s="9" t="s">
        <v>9</v>
      </c>
      <c r="J558" s="9" t="s">
        <v>28</v>
      </c>
      <c r="K558" s="4">
        <v>2.4E-2</v>
      </c>
      <c r="L558" t="str">
        <f>IF(pg_1[[#This Row],[Salary]]&gt;=90000, "Met minimum", "Not met minimum")</f>
        <v>Not met minimum</v>
      </c>
    </row>
    <row r="559" spans="1:12" x14ac:dyDescent="0.25">
      <c r="A559" s="8">
        <v>558</v>
      </c>
      <c r="B559" s="9" t="s">
        <v>630</v>
      </c>
      <c r="C559" s="9" t="s">
        <v>12</v>
      </c>
      <c r="D559" s="9" t="s">
        <v>31</v>
      </c>
      <c r="E559" t="s">
        <v>991</v>
      </c>
      <c r="F559" s="11">
        <v>116220</v>
      </c>
      <c r="G559" s="10">
        <v>1743.3</v>
      </c>
      <c r="H559" s="10">
        <v>117963.3</v>
      </c>
      <c r="I559" s="9" t="s">
        <v>9</v>
      </c>
      <c r="J559" s="9" t="s">
        <v>24</v>
      </c>
      <c r="K559" s="4">
        <v>1.4999999999999999E-2</v>
      </c>
      <c r="L559" t="str">
        <f>IF(pg_1[[#This Row],[Salary]]&gt;=90000, "Met minimum", "Not met minimum")</f>
        <v>Met minimum</v>
      </c>
    </row>
    <row r="560" spans="1:12" x14ac:dyDescent="0.25">
      <c r="A560" s="8">
        <v>559</v>
      </c>
      <c r="B560" s="9" t="s">
        <v>631</v>
      </c>
      <c r="C560" s="9" t="s">
        <v>7</v>
      </c>
      <c r="D560" s="9" t="s">
        <v>31</v>
      </c>
      <c r="E560" t="s">
        <v>988</v>
      </c>
      <c r="F560" s="11">
        <v>106890</v>
      </c>
      <c r="G560" s="10">
        <v>2458.4699999999998</v>
      </c>
      <c r="H560" s="10">
        <v>109348.47</v>
      </c>
      <c r="I560" s="9" t="s">
        <v>21</v>
      </c>
      <c r="J560" s="9" t="s">
        <v>28</v>
      </c>
      <c r="K560" s="4">
        <v>2.3E-2</v>
      </c>
      <c r="L560" t="str">
        <f>IF(pg_1[[#This Row],[Salary]]&gt;=90000, "Met minimum", "Not met minimum")</f>
        <v>Met minimum</v>
      </c>
    </row>
    <row r="561" spans="1:12" x14ac:dyDescent="0.25">
      <c r="A561" s="8">
        <v>560</v>
      </c>
      <c r="B561" s="9" t="s">
        <v>633</v>
      </c>
      <c r="C561" s="9" t="s">
        <v>12</v>
      </c>
      <c r="D561" s="9" t="s">
        <v>67</v>
      </c>
      <c r="E561" t="s">
        <v>988</v>
      </c>
      <c r="F561" s="11">
        <v>107440</v>
      </c>
      <c r="G561" s="10">
        <v>1396.72</v>
      </c>
      <c r="H561" s="10">
        <v>108836.72</v>
      </c>
      <c r="I561" s="9" t="s">
        <v>21</v>
      </c>
      <c r="J561" s="9" t="s">
        <v>24</v>
      </c>
      <c r="K561" s="4">
        <v>1.2999999999999999E-2</v>
      </c>
      <c r="L561" t="str">
        <f>IF(pg_1[[#This Row],[Salary]]&gt;=90000, "Met minimum", "Not met minimum")</f>
        <v>Met minimum</v>
      </c>
    </row>
    <row r="562" spans="1:12" x14ac:dyDescent="0.25">
      <c r="A562" s="8">
        <v>561</v>
      </c>
      <c r="B562" s="9" t="s">
        <v>634</v>
      </c>
      <c r="C562" s="9" t="s">
        <v>12</v>
      </c>
      <c r="D562" s="9" t="s">
        <v>27</v>
      </c>
      <c r="E562" t="s">
        <v>993</v>
      </c>
      <c r="F562" s="11">
        <v>29810</v>
      </c>
      <c r="G562" s="10">
        <v>804.87</v>
      </c>
      <c r="H562" s="10">
        <v>30614.87</v>
      </c>
      <c r="I562" s="9" t="s">
        <v>21</v>
      </c>
      <c r="J562" s="9" t="s">
        <v>28</v>
      </c>
      <c r="K562" s="4">
        <v>2.7E-2</v>
      </c>
      <c r="L562" t="str">
        <f>IF(pg_1[[#This Row],[Salary]]&gt;=90000, "Met minimum", "Not met minimum")</f>
        <v>Not met minimum</v>
      </c>
    </row>
    <row r="563" spans="1:12" x14ac:dyDescent="0.25">
      <c r="A563" s="8">
        <v>562</v>
      </c>
      <c r="B563" s="9" t="s">
        <v>635</v>
      </c>
      <c r="C563" s="9" t="s">
        <v>7</v>
      </c>
      <c r="D563" s="9" t="s">
        <v>42</v>
      </c>
      <c r="E563" t="s">
        <v>988</v>
      </c>
      <c r="F563" s="11">
        <v>105330</v>
      </c>
      <c r="G563" s="10">
        <v>2001.27</v>
      </c>
      <c r="H563" s="10">
        <v>107331.27</v>
      </c>
      <c r="I563" s="9" t="s">
        <v>9</v>
      </c>
      <c r="J563" s="9" t="s">
        <v>24</v>
      </c>
      <c r="K563" s="4">
        <v>1.9E-2</v>
      </c>
      <c r="L563" t="str">
        <f>IF(pg_1[[#This Row],[Salary]]&gt;=90000, "Met minimum", "Not met minimum")</f>
        <v>Met minimum</v>
      </c>
    </row>
    <row r="564" spans="1:12" x14ac:dyDescent="0.25">
      <c r="A564" s="8">
        <v>563</v>
      </c>
      <c r="B564" s="9" t="s">
        <v>636</v>
      </c>
      <c r="C564" s="9" t="s">
        <v>12</v>
      </c>
      <c r="D564" s="9" t="s">
        <v>20</v>
      </c>
      <c r="E564" t="s">
        <v>989</v>
      </c>
      <c r="F564" s="11">
        <v>43110</v>
      </c>
      <c r="G564" s="10">
        <v>905.31000000000006</v>
      </c>
      <c r="H564" s="10">
        <v>44015.31</v>
      </c>
      <c r="I564" s="9" t="s">
        <v>9</v>
      </c>
      <c r="J564" s="9" t="s">
        <v>28</v>
      </c>
      <c r="K564" s="4">
        <v>2.1000000000000001E-2</v>
      </c>
      <c r="L564" t="str">
        <f>IF(pg_1[[#This Row],[Salary]]&gt;=90000, "Met minimum", "Not met minimum")</f>
        <v>Not met minimum</v>
      </c>
    </row>
    <row r="565" spans="1:12" x14ac:dyDescent="0.25">
      <c r="A565" s="8">
        <v>564</v>
      </c>
      <c r="B565" s="9" t="s">
        <v>637</v>
      </c>
      <c r="C565" s="9" t="s">
        <v>7</v>
      </c>
      <c r="D565" s="9" t="s">
        <v>23</v>
      </c>
      <c r="E565" t="s">
        <v>987</v>
      </c>
      <c r="F565" s="11">
        <v>52630</v>
      </c>
      <c r="G565" s="10">
        <v>1473.64</v>
      </c>
      <c r="H565" s="10">
        <v>54103.64</v>
      </c>
      <c r="I565" s="9" t="s">
        <v>17</v>
      </c>
      <c r="J565" s="9" t="s">
        <v>28</v>
      </c>
      <c r="K565" s="4">
        <v>2.8000000000000001E-2</v>
      </c>
      <c r="L565" t="str">
        <f>IF(pg_1[[#This Row],[Salary]]&gt;=90000, "Met minimum", "Not met minimum")</f>
        <v>Not met minimum</v>
      </c>
    </row>
    <row r="566" spans="1:12" x14ac:dyDescent="0.25">
      <c r="A566" s="8">
        <v>565</v>
      </c>
      <c r="B566" s="9" t="s">
        <v>638</v>
      </c>
      <c r="C566" s="9" t="s">
        <v>7</v>
      </c>
      <c r="D566" s="9" t="s">
        <v>8</v>
      </c>
      <c r="E566" t="s">
        <v>989</v>
      </c>
      <c r="F566" s="11">
        <v>46350</v>
      </c>
      <c r="G566" s="10">
        <v>973.35</v>
      </c>
      <c r="H566" s="10">
        <v>47323.35</v>
      </c>
      <c r="I566" s="9" t="s">
        <v>21</v>
      </c>
      <c r="J566" s="9" t="s">
        <v>28</v>
      </c>
      <c r="K566" s="4">
        <v>2.1000000000000001E-2</v>
      </c>
      <c r="L566" t="str">
        <f>IF(pg_1[[#This Row],[Salary]]&gt;=90000, "Met minimum", "Not met minimum")</f>
        <v>Not met minimum</v>
      </c>
    </row>
    <row r="567" spans="1:12" x14ac:dyDescent="0.25">
      <c r="A567" s="8">
        <v>566</v>
      </c>
      <c r="B567" s="9" t="s">
        <v>640</v>
      </c>
      <c r="C567" s="9" t="s">
        <v>7</v>
      </c>
      <c r="D567" s="9" t="s">
        <v>27</v>
      </c>
      <c r="E567" t="s">
        <v>988</v>
      </c>
      <c r="F567" s="11">
        <v>108170</v>
      </c>
      <c r="G567" s="10">
        <v>0</v>
      </c>
      <c r="H567" s="10">
        <v>108170</v>
      </c>
      <c r="I567" s="9" t="s">
        <v>21</v>
      </c>
      <c r="J567" s="9" t="s">
        <v>18</v>
      </c>
      <c r="K567" s="4">
        <v>0</v>
      </c>
      <c r="L567" t="str">
        <f>IF(pg_1[[#This Row],[Salary]]&gt;=90000, "Met minimum", "Not met minimum")</f>
        <v>Met minimum</v>
      </c>
    </row>
    <row r="568" spans="1:12" x14ac:dyDescent="0.25">
      <c r="A568" s="8">
        <v>567</v>
      </c>
      <c r="B568" s="9" t="s">
        <v>641</v>
      </c>
      <c r="C568" s="9" t="s">
        <v>7</v>
      </c>
      <c r="D568" s="9" t="s">
        <v>31</v>
      </c>
      <c r="E568" t="s">
        <v>986</v>
      </c>
      <c r="F568" s="11">
        <v>69730</v>
      </c>
      <c r="G568" s="10">
        <v>348.65000000000003</v>
      </c>
      <c r="H568" s="10">
        <v>70078.649999999994</v>
      </c>
      <c r="I568" s="9" t="s">
        <v>21</v>
      </c>
      <c r="J568" s="9" t="s">
        <v>51</v>
      </c>
      <c r="K568" s="4">
        <v>5.0000000000000001E-3</v>
      </c>
      <c r="L568" t="str">
        <f>IF(pg_1[[#This Row],[Salary]]&gt;=90000, "Met minimum", "Not met minimum")</f>
        <v>Not met minimum</v>
      </c>
    </row>
    <row r="569" spans="1:12" x14ac:dyDescent="0.25">
      <c r="A569" s="8">
        <v>568</v>
      </c>
      <c r="B569" s="9" t="s">
        <v>642</v>
      </c>
      <c r="C569" s="9" t="s">
        <v>7</v>
      </c>
      <c r="D569" s="9" t="s">
        <v>37</v>
      </c>
      <c r="E569" t="s">
        <v>991</v>
      </c>
      <c r="F569" s="11">
        <v>110200</v>
      </c>
      <c r="G569" s="10">
        <v>3526.4</v>
      </c>
      <c r="H569" s="10">
        <v>113726.39999999999</v>
      </c>
      <c r="I569" s="9" t="s">
        <v>17</v>
      </c>
      <c r="J569" s="9" t="s">
        <v>28</v>
      </c>
      <c r="K569" s="4">
        <v>3.2000000000000001E-2</v>
      </c>
      <c r="L569" t="str">
        <f>IF(pg_1[[#This Row],[Salary]]&gt;=90000, "Met minimum", "Not met minimum")</f>
        <v>Met minimum</v>
      </c>
    </row>
    <row r="570" spans="1:12" x14ac:dyDescent="0.25">
      <c r="A570" s="8">
        <v>569</v>
      </c>
      <c r="B570" s="9" t="s">
        <v>643</v>
      </c>
      <c r="C570" s="9" t="s">
        <v>7</v>
      </c>
      <c r="D570" s="9" t="s">
        <v>20</v>
      </c>
      <c r="E570" t="s">
        <v>991</v>
      </c>
      <c r="F570" s="11">
        <v>116090</v>
      </c>
      <c r="G570" s="10">
        <v>0</v>
      </c>
      <c r="H570" s="10">
        <v>116090</v>
      </c>
      <c r="I570" s="9" t="s">
        <v>21</v>
      </c>
      <c r="J570" s="9" t="s">
        <v>18</v>
      </c>
      <c r="K570" s="4">
        <v>0</v>
      </c>
      <c r="L570" t="str">
        <f>IF(pg_1[[#This Row],[Salary]]&gt;=90000, "Met minimum", "Not met minimum")</f>
        <v>Met minimum</v>
      </c>
    </row>
    <row r="571" spans="1:12" x14ac:dyDescent="0.25">
      <c r="A571" s="8">
        <v>570</v>
      </c>
      <c r="B571" s="9" t="s">
        <v>644</v>
      </c>
      <c r="C571" s="9" t="s">
        <v>970</v>
      </c>
      <c r="D571" s="9" t="s">
        <v>34</v>
      </c>
      <c r="E571" t="s">
        <v>987</v>
      </c>
      <c r="F571" s="11">
        <v>52140</v>
      </c>
      <c r="G571" s="10">
        <v>1251.3600000000001</v>
      </c>
      <c r="H571" s="10">
        <v>53391.360000000001</v>
      </c>
      <c r="I571" s="9" t="s">
        <v>17</v>
      </c>
      <c r="J571" s="9" t="s">
        <v>28</v>
      </c>
      <c r="K571" s="4">
        <v>2.4E-2</v>
      </c>
      <c r="L571" t="str">
        <f>IF(pg_1[[#This Row],[Salary]]&gt;=90000, "Met minimum", "Not met minimum")</f>
        <v>Not met minimum</v>
      </c>
    </row>
    <row r="572" spans="1:12" x14ac:dyDescent="0.25">
      <c r="A572" s="8">
        <v>571</v>
      </c>
      <c r="B572" s="9" t="s">
        <v>645</v>
      </c>
      <c r="C572" s="9" t="s">
        <v>7</v>
      </c>
      <c r="D572" s="9" t="s">
        <v>13</v>
      </c>
      <c r="E572" t="s">
        <v>990</v>
      </c>
      <c r="F572" s="11">
        <v>32810</v>
      </c>
      <c r="G572" s="10">
        <v>1148.3500000000001</v>
      </c>
      <c r="H572" s="10">
        <v>33958.35</v>
      </c>
      <c r="I572" s="9" t="s">
        <v>21</v>
      </c>
      <c r="J572" s="9" t="s">
        <v>28</v>
      </c>
      <c r="K572" s="4">
        <v>3.5000000000000003E-2</v>
      </c>
      <c r="L572" t="str">
        <f>IF(pg_1[[#This Row],[Salary]]&gt;=90000, "Met minimum", "Not met minimum")</f>
        <v>Not met minimum</v>
      </c>
    </row>
    <row r="573" spans="1:12" x14ac:dyDescent="0.25">
      <c r="A573" s="8">
        <v>572</v>
      </c>
      <c r="B573" s="9" t="s">
        <v>646</v>
      </c>
      <c r="C573" s="9" t="s">
        <v>7</v>
      </c>
      <c r="D573" s="9" t="s">
        <v>8</v>
      </c>
      <c r="E573" t="s">
        <v>987</v>
      </c>
      <c r="F573" s="11">
        <v>59430</v>
      </c>
      <c r="G573" s="10">
        <v>1248.03</v>
      </c>
      <c r="H573" s="10">
        <v>60678.03</v>
      </c>
      <c r="I573" s="9" t="s">
        <v>9</v>
      </c>
      <c r="J573" s="9" t="s">
        <v>28</v>
      </c>
      <c r="K573" s="4">
        <v>2.1000000000000001E-2</v>
      </c>
      <c r="L573" t="str">
        <f>IF(pg_1[[#This Row],[Salary]]&gt;=90000, "Met minimum", "Not met minimum")</f>
        <v>Not met minimum</v>
      </c>
    </row>
    <row r="574" spans="1:12" x14ac:dyDescent="0.25">
      <c r="A574" s="8">
        <v>573</v>
      </c>
      <c r="B574" s="9" t="s">
        <v>647</v>
      </c>
      <c r="C574" s="9" t="s">
        <v>7</v>
      </c>
      <c r="D574" s="9" t="s">
        <v>20</v>
      </c>
      <c r="E574" t="s">
        <v>989</v>
      </c>
      <c r="F574" s="11">
        <v>46990</v>
      </c>
      <c r="G574" s="10">
        <v>986.79000000000008</v>
      </c>
      <c r="H574" s="10">
        <v>47976.79</v>
      </c>
      <c r="I574" s="9" t="s">
        <v>21</v>
      </c>
      <c r="J574" s="9" t="s">
        <v>28</v>
      </c>
      <c r="K574" s="4">
        <v>2.1000000000000001E-2</v>
      </c>
      <c r="L574" t="str">
        <f>IF(pg_1[[#This Row],[Salary]]&gt;=90000, "Met minimum", "Not met minimum")</f>
        <v>Not met minimum</v>
      </c>
    </row>
    <row r="575" spans="1:12" x14ac:dyDescent="0.25">
      <c r="A575" s="8">
        <v>574</v>
      </c>
      <c r="B575" s="9" t="s">
        <v>648</v>
      </c>
      <c r="C575" s="9" t="s">
        <v>7</v>
      </c>
      <c r="D575" s="9" t="s">
        <v>8</v>
      </c>
      <c r="E575" t="s">
        <v>990</v>
      </c>
      <c r="F575" s="11">
        <v>33560</v>
      </c>
      <c r="G575" s="10">
        <v>704.76</v>
      </c>
      <c r="H575" s="10">
        <v>34264.76</v>
      </c>
      <c r="I575" s="9" t="s">
        <v>21</v>
      </c>
      <c r="J575" s="9" t="s">
        <v>28</v>
      </c>
      <c r="K575" s="4">
        <v>2.1000000000000001E-2</v>
      </c>
      <c r="L575" t="str">
        <f>IF(pg_1[[#This Row],[Salary]]&gt;=90000, "Met minimum", "Not met minimum")</f>
        <v>Not met minimum</v>
      </c>
    </row>
    <row r="576" spans="1:12" x14ac:dyDescent="0.25">
      <c r="A576" s="8">
        <v>575</v>
      </c>
      <c r="B576" s="9" t="s">
        <v>649</v>
      </c>
      <c r="C576" s="9" t="s">
        <v>7</v>
      </c>
      <c r="D576" s="9" t="s">
        <v>8</v>
      </c>
      <c r="E576" t="s">
        <v>990</v>
      </c>
      <c r="F576" s="11">
        <v>33890</v>
      </c>
      <c r="G576" s="10">
        <v>711.69</v>
      </c>
      <c r="H576" s="10">
        <v>34601.69</v>
      </c>
      <c r="I576" s="9" t="s">
        <v>17</v>
      </c>
      <c r="J576" s="9" t="s">
        <v>28</v>
      </c>
      <c r="K576" s="4">
        <v>2.1000000000000001E-2</v>
      </c>
      <c r="L576" t="str">
        <f>IF(pg_1[[#This Row],[Salary]]&gt;=90000, "Met minimum", "Not met minimum")</f>
        <v>Not met minimum</v>
      </c>
    </row>
    <row r="577" spans="1:12" x14ac:dyDescent="0.25">
      <c r="A577" s="8">
        <v>576</v>
      </c>
      <c r="B577" s="9" t="s">
        <v>650</v>
      </c>
      <c r="C577" s="9" t="s">
        <v>7</v>
      </c>
      <c r="D577" s="9" t="s">
        <v>42</v>
      </c>
      <c r="E577" t="s">
        <v>987</v>
      </c>
      <c r="F577" s="11">
        <v>51740</v>
      </c>
      <c r="G577" s="10">
        <v>983.06</v>
      </c>
      <c r="H577" s="10">
        <v>52723.06</v>
      </c>
      <c r="I577" s="9" t="s">
        <v>21</v>
      </c>
      <c r="J577" s="9" t="s">
        <v>24</v>
      </c>
      <c r="K577" s="4">
        <v>1.9E-2</v>
      </c>
      <c r="L577" t="str">
        <f>IF(pg_1[[#This Row],[Salary]]&gt;=90000, "Met minimum", "Not met minimum")</f>
        <v>Not met minimum</v>
      </c>
    </row>
    <row r="578" spans="1:12" x14ac:dyDescent="0.25">
      <c r="A578" s="8">
        <v>577</v>
      </c>
      <c r="B578" s="9" t="s">
        <v>651</v>
      </c>
      <c r="C578" s="9" t="s">
        <v>12</v>
      </c>
      <c r="D578" s="9" t="s">
        <v>53</v>
      </c>
      <c r="E578" t="s">
        <v>987</v>
      </c>
      <c r="F578" s="11">
        <v>51650</v>
      </c>
      <c r="G578" s="10">
        <v>2995.7000000000003</v>
      </c>
      <c r="H578" s="10">
        <v>54645.7</v>
      </c>
      <c r="I578" s="9" t="s">
        <v>17</v>
      </c>
      <c r="J578" s="9" t="s">
        <v>14</v>
      </c>
      <c r="K578" s="4">
        <v>5.8000000000000003E-2</v>
      </c>
      <c r="L578" t="str">
        <f>IF(pg_1[[#This Row],[Salary]]&gt;=90000, "Met minimum", "Not met minimum")</f>
        <v>Not met minimum</v>
      </c>
    </row>
    <row r="579" spans="1:12" x14ac:dyDescent="0.25">
      <c r="A579" s="8">
        <v>578</v>
      </c>
      <c r="B579" s="9" t="s">
        <v>652</v>
      </c>
      <c r="C579" s="9" t="s">
        <v>12</v>
      </c>
      <c r="D579" s="9" t="s">
        <v>50</v>
      </c>
      <c r="E579" t="s">
        <v>991</v>
      </c>
      <c r="F579" s="11">
        <v>115980</v>
      </c>
      <c r="G579" s="10">
        <v>6262.92</v>
      </c>
      <c r="H579" s="10">
        <v>122242.92</v>
      </c>
      <c r="I579" s="9" t="s">
        <v>17</v>
      </c>
      <c r="J579" s="9" t="s">
        <v>14</v>
      </c>
      <c r="K579" s="4">
        <v>5.3999999999999999E-2</v>
      </c>
      <c r="L579" t="str">
        <f>IF(pg_1[[#This Row],[Salary]]&gt;=90000, "Met minimum", "Not met minimum")</f>
        <v>Met minimum</v>
      </c>
    </row>
    <row r="580" spans="1:12" x14ac:dyDescent="0.25">
      <c r="A580" s="8">
        <v>579</v>
      </c>
      <c r="B580" s="9" t="s">
        <v>653</v>
      </c>
      <c r="C580" s="9" t="s">
        <v>12</v>
      </c>
      <c r="D580" s="9" t="s">
        <v>8</v>
      </c>
      <c r="E580" t="s">
        <v>987</v>
      </c>
      <c r="F580" s="11">
        <v>58370</v>
      </c>
      <c r="G580" s="10">
        <v>2976.87</v>
      </c>
      <c r="H580" s="10">
        <v>61346.87</v>
      </c>
      <c r="I580" s="9" t="s">
        <v>21</v>
      </c>
      <c r="J580" s="9" t="s">
        <v>14</v>
      </c>
      <c r="K580" s="4">
        <v>5.0999999999999997E-2</v>
      </c>
      <c r="L580" t="str">
        <f>IF(pg_1[[#This Row],[Salary]]&gt;=90000, "Met minimum", "Not met minimum")</f>
        <v>Not met minimum</v>
      </c>
    </row>
    <row r="581" spans="1:12" x14ac:dyDescent="0.25">
      <c r="A581" s="8">
        <v>580</v>
      </c>
      <c r="B581" s="9" t="s">
        <v>654</v>
      </c>
      <c r="C581" s="9" t="s">
        <v>12</v>
      </c>
      <c r="D581" s="9" t="s">
        <v>37</v>
      </c>
      <c r="E581" t="s">
        <v>988</v>
      </c>
      <c r="F581" s="11">
        <v>106670</v>
      </c>
      <c r="G581" s="10">
        <v>3413.44</v>
      </c>
      <c r="H581" s="10">
        <v>110083.44</v>
      </c>
      <c r="I581" s="9" t="s">
        <v>9</v>
      </c>
      <c r="J581" s="9" t="s">
        <v>28</v>
      </c>
      <c r="K581" s="4">
        <v>3.2000000000000001E-2</v>
      </c>
      <c r="L581" t="str">
        <f>IF(pg_1[[#This Row],[Salary]]&gt;=90000, "Met minimum", "Not met minimum")</f>
        <v>Met minimum</v>
      </c>
    </row>
    <row r="582" spans="1:12" x14ac:dyDescent="0.25">
      <c r="A582" s="8">
        <v>581</v>
      </c>
      <c r="B582" s="9" t="s">
        <v>655</v>
      </c>
      <c r="C582" s="9" t="s">
        <v>12</v>
      </c>
      <c r="D582" s="9" t="s">
        <v>53</v>
      </c>
      <c r="E582" t="s">
        <v>989</v>
      </c>
      <c r="F582" s="11">
        <v>44850</v>
      </c>
      <c r="G582" s="10">
        <v>3184.35</v>
      </c>
      <c r="H582" s="10">
        <v>48034.35</v>
      </c>
      <c r="I582" s="9" t="s">
        <v>21</v>
      </c>
      <c r="J582" s="9" t="s">
        <v>10</v>
      </c>
      <c r="K582" s="4">
        <v>7.0999999999999994E-2</v>
      </c>
      <c r="L582" t="str">
        <f>IF(pg_1[[#This Row],[Salary]]&gt;=90000, "Met minimum", "Not met minimum")</f>
        <v>Not met minimum</v>
      </c>
    </row>
    <row r="583" spans="1:12" x14ac:dyDescent="0.25">
      <c r="A583" s="8">
        <v>582</v>
      </c>
      <c r="B583" s="9" t="s">
        <v>656</v>
      </c>
      <c r="C583" s="9" t="s">
        <v>7</v>
      </c>
      <c r="D583" s="9" t="s">
        <v>53</v>
      </c>
      <c r="E583" t="s">
        <v>992</v>
      </c>
      <c r="F583" s="11">
        <v>75600</v>
      </c>
      <c r="G583" s="10">
        <v>1512</v>
      </c>
      <c r="H583" s="10">
        <v>77112</v>
      </c>
      <c r="I583" s="9" t="s">
        <v>17</v>
      </c>
      <c r="J583" s="9" t="s">
        <v>28</v>
      </c>
      <c r="K583" s="4">
        <v>0.02</v>
      </c>
      <c r="L583" t="str">
        <f>IF(pg_1[[#This Row],[Salary]]&gt;=90000, "Met minimum", "Not met minimum")</f>
        <v>Not met minimum</v>
      </c>
    </row>
    <row r="584" spans="1:12" x14ac:dyDescent="0.25">
      <c r="A584" s="8">
        <v>583</v>
      </c>
      <c r="B584" s="9" t="s">
        <v>657</v>
      </c>
      <c r="C584" s="9" t="s">
        <v>7</v>
      </c>
      <c r="D584" s="9" t="s">
        <v>37</v>
      </c>
      <c r="E584" t="s">
        <v>986</v>
      </c>
      <c r="F584" s="11">
        <v>69120</v>
      </c>
      <c r="G584" s="10">
        <v>2211.84</v>
      </c>
      <c r="H584" s="10">
        <v>71331.839999999997</v>
      </c>
      <c r="I584" s="9" t="s">
        <v>17</v>
      </c>
      <c r="J584" s="9" t="s">
        <v>28</v>
      </c>
      <c r="K584" s="4">
        <v>3.2000000000000001E-2</v>
      </c>
      <c r="L584" t="str">
        <f>IF(pg_1[[#This Row],[Salary]]&gt;=90000, "Met minimum", "Not met minimum")</f>
        <v>Not met minimum</v>
      </c>
    </row>
    <row r="585" spans="1:12" x14ac:dyDescent="0.25">
      <c r="A585" s="8">
        <v>584</v>
      </c>
      <c r="B585" s="9" t="s">
        <v>658</v>
      </c>
      <c r="C585" s="9" t="s">
        <v>12</v>
      </c>
      <c r="D585" s="9" t="s">
        <v>27</v>
      </c>
      <c r="E585" t="s">
        <v>990</v>
      </c>
      <c r="F585" s="11">
        <v>31200</v>
      </c>
      <c r="G585" s="10">
        <v>156</v>
      </c>
      <c r="H585" s="10">
        <v>31356</v>
      </c>
      <c r="I585" s="9" t="s">
        <v>17</v>
      </c>
      <c r="J585" s="9" t="s">
        <v>51</v>
      </c>
      <c r="K585" s="4">
        <v>5.0000000000000001E-3</v>
      </c>
      <c r="L585" t="str">
        <f>IF(pg_1[[#This Row],[Salary]]&gt;=90000, "Met minimum", "Not met minimum")</f>
        <v>Not met minimum</v>
      </c>
    </row>
    <row r="586" spans="1:12" x14ac:dyDescent="0.25">
      <c r="A586" s="8">
        <v>585</v>
      </c>
      <c r="B586" s="9" t="s">
        <v>659</v>
      </c>
      <c r="C586" s="9" t="s">
        <v>12</v>
      </c>
      <c r="D586" s="9" t="s">
        <v>31</v>
      </c>
      <c r="E586" t="s">
        <v>989</v>
      </c>
      <c r="F586" s="11">
        <v>42160</v>
      </c>
      <c r="G586" s="10">
        <v>3035.52</v>
      </c>
      <c r="H586" s="10">
        <v>45195.519999999997</v>
      </c>
      <c r="I586" s="9" t="s">
        <v>9</v>
      </c>
      <c r="J586" s="9" t="s">
        <v>10</v>
      </c>
      <c r="K586" s="4">
        <v>7.1999999999999995E-2</v>
      </c>
      <c r="L586" t="str">
        <f>IF(pg_1[[#This Row],[Salary]]&gt;=90000, "Met minimum", "Not met minimum")</f>
        <v>Not met minimum</v>
      </c>
    </row>
    <row r="587" spans="1:12" x14ac:dyDescent="0.25">
      <c r="A587" s="8">
        <v>586</v>
      </c>
      <c r="B587" s="9" t="s">
        <v>660</v>
      </c>
      <c r="C587" s="9" t="s">
        <v>7</v>
      </c>
      <c r="D587" s="9" t="s">
        <v>31</v>
      </c>
      <c r="E587" t="s">
        <v>991</v>
      </c>
      <c r="F587" s="11">
        <v>110830</v>
      </c>
      <c r="G587" s="10">
        <v>2549.09</v>
      </c>
      <c r="H587" s="10">
        <v>113379.09</v>
      </c>
      <c r="I587" s="9" t="s">
        <v>21</v>
      </c>
      <c r="J587" s="9" t="s">
        <v>28</v>
      </c>
      <c r="K587" s="4">
        <v>2.3E-2</v>
      </c>
      <c r="L587" t="str">
        <f>IF(pg_1[[#This Row],[Salary]]&gt;=90000, "Met minimum", "Not met minimum")</f>
        <v>Met minimum</v>
      </c>
    </row>
    <row r="588" spans="1:12" x14ac:dyDescent="0.25">
      <c r="A588" s="8">
        <v>587</v>
      </c>
      <c r="B588" s="9" t="s">
        <v>661</v>
      </c>
      <c r="C588" s="9" t="s">
        <v>12</v>
      </c>
      <c r="D588" s="9" t="s">
        <v>67</v>
      </c>
      <c r="E588" t="s">
        <v>985</v>
      </c>
      <c r="F588" s="11">
        <v>83180</v>
      </c>
      <c r="G588" s="10">
        <v>2911.3</v>
      </c>
      <c r="H588" s="10">
        <v>86091.3</v>
      </c>
      <c r="I588" s="9" t="s">
        <v>21</v>
      </c>
      <c r="J588" s="9" t="s">
        <v>28</v>
      </c>
      <c r="K588" s="4">
        <v>3.5000000000000003E-2</v>
      </c>
      <c r="L588" t="str">
        <f>IF(pg_1[[#This Row],[Salary]]&gt;=90000, "Met minimum", "Not met minimum")</f>
        <v>Not met minimum</v>
      </c>
    </row>
    <row r="589" spans="1:12" x14ac:dyDescent="0.25">
      <c r="A589" s="8">
        <v>588</v>
      </c>
      <c r="B589" s="9" t="s">
        <v>662</v>
      </c>
      <c r="C589" s="9" t="s">
        <v>12</v>
      </c>
      <c r="D589" s="9" t="s">
        <v>50</v>
      </c>
      <c r="E589" t="s">
        <v>989</v>
      </c>
      <c r="F589" s="11">
        <v>46750</v>
      </c>
      <c r="G589" s="10">
        <v>2524.5</v>
      </c>
      <c r="H589" s="10">
        <v>49274.5</v>
      </c>
      <c r="I589" s="9" t="s">
        <v>17</v>
      </c>
      <c r="J589" s="9" t="s">
        <v>14</v>
      </c>
      <c r="K589" s="4">
        <v>5.3999999999999999E-2</v>
      </c>
      <c r="L589" t="str">
        <f>IF(pg_1[[#This Row],[Salary]]&gt;=90000, "Met minimum", "Not met minimum")</f>
        <v>Not met minimum</v>
      </c>
    </row>
    <row r="590" spans="1:12" x14ac:dyDescent="0.25">
      <c r="A590" s="8">
        <v>589</v>
      </c>
      <c r="B590" s="9" t="s">
        <v>663</v>
      </c>
      <c r="C590" s="9" t="s">
        <v>12</v>
      </c>
      <c r="D590" s="9" t="s">
        <v>34</v>
      </c>
      <c r="E590" t="s">
        <v>992</v>
      </c>
      <c r="F590" s="11">
        <v>78540</v>
      </c>
      <c r="G590" s="10">
        <v>1884.96</v>
      </c>
      <c r="H590" s="10">
        <v>80424.960000000006</v>
      </c>
      <c r="I590" s="9" t="s">
        <v>21</v>
      </c>
      <c r="J590" s="9" t="s">
        <v>28</v>
      </c>
      <c r="K590" s="4">
        <v>2.4E-2</v>
      </c>
      <c r="L590" t="str">
        <f>IF(pg_1[[#This Row],[Salary]]&gt;=90000, "Met minimum", "Not met minimum")</f>
        <v>Not met minimum</v>
      </c>
    </row>
    <row r="591" spans="1:12" x14ac:dyDescent="0.25">
      <c r="A591" s="8">
        <v>590</v>
      </c>
      <c r="B591" s="9" t="s">
        <v>664</v>
      </c>
      <c r="C591" s="9" t="s">
        <v>7</v>
      </c>
      <c r="D591" s="9" t="s">
        <v>27</v>
      </c>
      <c r="E591" t="s">
        <v>988</v>
      </c>
      <c r="F591" s="11">
        <v>106930</v>
      </c>
      <c r="G591" s="10">
        <v>534.65</v>
      </c>
      <c r="H591" s="10">
        <v>107464.65</v>
      </c>
      <c r="I591" s="9" t="s">
        <v>17</v>
      </c>
      <c r="J591" s="9" t="s">
        <v>51</v>
      </c>
      <c r="K591" s="4">
        <v>5.0000000000000001E-3</v>
      </c>
      <c r="L591" t="str">
        <f>IF(pg_1[[#This Row],[Salary]]&gt;=90000, "Met minimum", "Not met minimum")</f>
        <v>Met minimum</v>
      </c>
    </row>
    <row r="592" spans="1:12" x14ac:dyDescent="0.25">
      <c r="A592" s="8">
        <v>591</v>
      </c>
      <c r="B592" s="9" t="s">
        <v>665</v>
      </c>
      <c r="C592" s="9" t="s">
        <v>12</v>
      </c>
      <c r="D592" s="9" t="s">
        <v>50</v>
      </c>
      <c r="E592" t="s">
        <v>992</v>
      </c>
      <c r="F592" s="11">
        <v>77000</v>
      </c>
      <c r="G592" s="10">
        <v>2541</v>
      </c>
      <c r="H592" s="10">
        <v>79541</v>
      </c>
      <c r="I592" s="9" t="s">
        <v>9</v>
      </c>
      <c r="J592" s="9" t="s">
        <v>28</v>
      </c>
      <c r="K592" s="4">
        <v>3.3000000000000002E-2</v>
      </c>
      <c r="L592" t="str">
        <f>IF(pg_1[[#This Row],[Salary]]&gt;=90000, "Met minimum", "Not met minimum")</f>
        <v>Not met minimum</v>
      </c>
    </row>
    <row r="593" spans="1:12" x14ac:dyDescent="0.25">
      <c r="A593" s="8">
        <v>592</v>
      </c>
      <c r="B593" s="9" t="s">
        <v>666</v>
      </c>
      <c r="C593" s="9" t="s">
        <v>7</v>
      </c>
      <c r="D593" s="9" t="s">
        <v>37</v>
      </c>
      <c r="E593" t="s">
        <v>992</v>
      </c>
      <c r="F593" s="11">
        <v>74920</v>
      </c>
      <c r="G593" s="10">
        <v>2397.44</v>
      </c>
      <c r="H593" s="10">
        <v>77317.440000000002</v>
      </c>
      <c r="I593" s="9" t="s">
        <v>9</v>
      </c>
      <c r="J593" s="9" t="s">
        <v>28</v>
      </c>
      <c r="K593" s="4">
        <v>3.2000000000000001E-2</v>
      </c>
      <c r="L593" t="str">
        <f>IF(pg_1[[#This Row],[Salary]]&gt;=90000, "Met minimum", "Not met minimum")</f>
        <v>Not met minimum</v>
      </c>
    </row>
    <row r="594" spans="1:12" x14ac:dyDescent="0.25">
      <c r="A594" s="8">
        <v>593</v>
      </c>
      <c r="B594" s="9" t="s">
        <v>667</v>
      </c>
      <c r="C594" s="9" t="s">
        <v>7</v>
      </c>
      <c r="D594" s="9" t="s">
        <v>53</v>
      </c>
      <c r="E594" t="s">
        <v>990</v>
      </c>
      <c r="F594" s="11">
        <v>36550</v>
      </c>
      <c r="G594" s="10">
        <v>731</v>
      </c>
      <c r="H594" s="10">
        <v>37281</v>
      </c>
      <c r="I594" s="9" t="s">
        <v>21</v>
      </c>
      <c r="J594" s="9" t="s">
        <v>28</v>
      </c>
      <c r="K594" s="4">
        <v>0.02</v>
      </c>
      <c r="L594" t="str">
        <f>IF(pg_1[[#This Row],[Salary]]&gt;=90000, "Met minimum", "Not met minimum")</f>
        <v>Not met minimum</v>
      </c>
    </row>
    <row r="595" spans="1:12" x14ac:dyDescent="0.25">
      <c r="A595" s="8">
        <v>594</v>
      </c>
      <c r="B595" s="9" t="s">
        <v>668</v>
      </c>
      <c r="C595" s="9" t="s">
        <v>7</v>
      </c>
      <c r="D595" s="9" t="s">
        <v>53</v>
      </c>
      <c r="E595" t="s">
        <v>994</v>
      </c>
      <c r="F595" s="11">
        <v>95950</v>
      </c>
      <c r="G595" s="10">
        <v>1919</v>
      </c>
      <c r="H595" s="10">
        <v>97869</v>
      </c>
      <c r="I595" s="9" t="s">
        <v>17</v>
      </c>
      <c r="J595" s="9" t="s">
        <v>28</v>
      </c>
      <c r="K595" s="4">
        <v>0.02</v>
      </c>
      <c r="L595" t="str">
        <f>IF(pg_1[[#This Row],[Salary]]&gt;=90000, "Met minimum", "Not met minimum")</f>
        <v>Met minimum</v>
      </c>
    </row>
    <row r="596" spans="1:12" x14ac:dyDescent="0.25">
      <c r="A596" s="8">
        <v>595</v>
      </c>
      <c r="B596" s="9" t="s">
        <v>669</v>
      </c>
      <c r="C596" s="9" t="s">
        <v>7</v>
      </c>
      <c r="D596" s="9" t="s">
        <v>31</v>
      </c>
      <c r="E596" t="s">
        <v>985</v>
      </c>
      <c r="F596" s="11">
        <v>85880</v>
      </c>
      <c r="G596" s="10">
        <v>6183.36</v>
      </c>
      <c r="H596" s="10">
        <v>92063.360000000001</v>
      </c>
      <c r="I596" s="9" t="s">
        <v>9</v>
      </c>
      <c r="J596" s="9" t="s">
        <v>10</v>
      </c>
      <c r="K596" s="4">
        <v>7.1999999999999995E-2</v>
      </c>
      <c r="L596" t="str">
        <f>IF(pg_1[[#This Row],[Salary]]&gt;=90000, "Met minimum", "Not met minimum")</f>
        <v>Not met minimum</v>
      </c>
    </row>
    <row r="597" spans="1:12" x14ac:dyDescent="0.25">
      <c r="A597" s="8">
        <v>596</v>
      </c>
      <c r="B597" s="9" t="s">
        <v>670</v>
      </c>
      <c r="C597" s="9" t="s">
        <v>970</v>
      </c>
      <c r="D597" s="9" t="s">
        <v>8</v>
      </c>
      <c r="E597" t="s">
        <v>992</v>
      </c>
      <c r="F597" s="11">
        <v>77910</v>
      </c>
      <c r="G597" s="10">
        <v>1636.1100000000001</v>
      </c>
      <c r="H597" s="10">
        <v>79546.11</v>
      </c>
      <c r="I597" s="9" t="s">
        <v>21</v>
      </c>
      <c r="J597" s="9" t="s">
        <v>28</v>
      </c>
      <c r="K597" s="4">
        <v>2.1000000000000001E-2</v>
      </c>
      <c r="L597" t="str">
        <f>IF(pg_1[[#This Row],[Salary]]&gt;=90000, "Met minimum", "Not met minimum")</f>
        <v>Not met minimum</v>
      </c>
    </row>
    <row r="598" spans="1:12" x14ac:dyDescent="0.25">
      <c r="A598" s="8">
        <v>597</v>
      </c>
      <c r="B598" s="9" t="s">
        <v>671</v>
      </c>
      <c r="C598" s="9" t="s">
        <v>7</v>
      </c>
      <c r="D598" s="9" t="s">
        <v>27</v>
      </c>
      <c r="E598" t="s">
        <v>991</v>
      </c>
      <c r="F598" s="11">
        <v>116670</v>
      </c>
      <c r="G598" s="10">
        <v>3150.09</v>
      </c>
      <c r="H598" s="10">
        <v>119820.09</v>
      </c>
      <c r="I598" s="9" t="s">
        <v>21</v>
      </c>
      <c r="J598" s="9" t="s">
        <v>28</v>
      </c>
      <c r="K598" s="4">
        <v>2.7E-2</v>
      </c>
      <c r="L598" t="str">
        <f>IF(pg_1[[#This Row],[Salary]]&gt;=90000, "Met minimum", "Not met minimum")</f>
        <v>Met minimum</v>
      </c>
    </row>
    <row r="599" spans="1:12" x14ac:dyDescent="0.25">
      <c r="A599" s="8">
        <v>598</v>
      </c>
      <c r="B599" s="9" t="s">
        <v>672</v>
      </c>
      <c r="C599" s="9" t="s">
        <v>12</v>
      </c>
      <c r="D599" s="9" t="s">
        <v>23</v>
      </c>
      <c r="E599" t="s">
        <v>992</v>
      </c>
      <c r="F599" s="11">
        <v>71920</v>
      </c>
      <c r="G599" s="10">
        <v>719.2</v>
      </c>
      <c r="H599" s="10">
        <v>72639.199999999997</v>
      </c>
      <c r="I599" s="9" t="s">
        <v>17</v>
      </c>
      <c r="J599" s="9" t="s">
        <v>24</v>
      </c>
      <c r="K599" s="4">
        <v>0.01</v>
      </c>
      <c r="L599" t="str">
        <f>IF(pg_1[[#This Row],[Salary]]&gt;=90000, "Met minimum", "Not met minimum")</f>
        <v>Not met minimum</v>
      </c>
    </row>
    <row r="600" spans="1:12" x14ac:dyDescent="0.25">
      <c r="A600" s="8">
        <v>599</v>
      </c>
      <c r="B600" s="9" t="s">
        <v>673</v>
      </c>
      <c r="C600" s="9" t="s">
        <v>12</v>
      </c>
      <c r="D600" s="9" t="s">
        <v>8</v>
      </c>
      <c r="E600" t="s">
        <v>990</v>
      </c>
      <c r="F600" s="11">
        <v>39340</v>
      </c>
      <c r="G600" s="10">
        <v>2006.34</v>
      </c>
      <c r="H600" s="10">
        <v>41346.339999999997</v>
      </c>
      <c r="I600" s="9" t="s">
        <v>21</v>
      </c>
      <c r="J600" s="9" t="s">
        <v>14</v>
      </c>
      <c r="K600" s="4">
        <v>5.0999999999999997E-2</v>
      </c>
      <c r="L600" t="str">
        <f>IF(pg_1[[#This Row],[Salary]]&gt;=90000, "Met minimum", "Not met minimum")</f>
        <v>Not met minimum</v>
      </c>
    </row>
    <row r="601" spans="1:12" x14ac:dyDescent="0.25">
      <c r="A601" s="8">
        <v>600</v>
      </c>
      <c r="B601" s="9" t="s">
        <v>675</v>
      </c>
      <c r="C601" s="9" t="s">
        <v>7</v>
      </c>
      <c r="D601" s="9" t="s">
        <v>27</v>
      </c>
      <c r="E601" t="s">
        <v>988</v>
      </c>
      <c r="F601" s="11">
        <v>103490</v>
      </c>
      <c r="G601" s="10">
        <v>5588.46</v>
      </c>
      <c r="H601" s="10">
        <v>109078.46</v>
      </c>
      <c r="I601" s="9" t="s">
        <v>17</v>
      </c>
      <c r="J601" s="9" t="s">
        <v>14</v>
      </c>
      <c r="K601" s="4">
        <v>5.3999999999999999E-2</v>
      </c>
      <c r="L601" t="str">
        <f>IF(pg_1[[#This Row],[Salary]]&gt;=90000, "Met minimum", "Not met minimum")</f>
        <v>Met minimum</v>
      </c>
    </row>
    <row r="602" spans="1:12" x14ac:dyDescent="0.25">
      <c r="A602" s="8">
        <v>601</v>
      </c>
      <c r="B602" s="9" t="s">
        <v>676</v>
      </c>
      <c r="C602" s="9" t="s">
        <v>12</v>
      </c>
      <c r="D602" s="9" t="s">
        <v>20</v>
      </c>
      <c r="E602" t="s">
        <v>985</v>
      </c>
      <c r="F602" s="11">
        <v>87740</v>
      </c>
      <c r="G602" s="10">
        <v>1842.5400000000002</v>
      </c>
      <c r="H602" s="10">
        <v>89582.54</v>
      </c>
      <c r="I602" s="9" t="s">
        <v>21</v>
      </c>
      <c r="J602" s="9" t="s">
        <v>28</v>
      </c>
      <c r="K602" s="4">
        <v>2.1000000000000001E-2</v>
      </c>
      <c r="L602" t="str">
        <f>IF(pg_1[[#This Row],[Salary]]&gt;=90000, "Met minimum", "Not met minimum")</f>
        <v>Not met minimum</v>
      </c>
    </row>
    <row r="603" spans="1:12" x14ac:dyDescent="0.25">
      <c r="A603" s="8">
        <v>602</v>
      </c>
      <c r="B603" s="9" t="s">
        <v>677</v>
      </c>
      <c r="C603" s="9" t="s">
        <v>12</v>
      </c>
      <c r="D603" s="9" t="s">
        <v>67</v>
      </c>
      <c r="E603" t="s">
        <v>991</v>
      </c>
      <c r="F603" s="11">
        <v>113980</v>
      </c>
      <c r="G603" s="10">
        <v>1481.74</v>
      </c>
      <c r="H603" s="10">
        <v>115461.74</v>
      </c>
      <c r="I603" s="9" t="s">
        <v>9</v>
      </c>
      <c r="J603" s="9" t="s">
        <v>24</v>
      </c>
      <c r="K603" s="4">
        <v>1.2999999999999999E-2</v>
      </c>
      <c r="L603" t="str">
        <f>IF(pg_1[[#This Row],[Salary]]&gt;=90000, "Met minimum", "Not met minimum")</f>
        <v>Met minimum</v>
      </c>
    </row>
    <row r="604" spans="1:12" x14ac:dyDescent="0.25">
      <c r="A604" s="8">
        <v>603</v>
      </c>
      <c r="B604" s="9" t="s">
        <v>679</v>
      </c>
      <c r="C604" s="9" t="s">
        <v>12</v>
      </c>
      <c r="D604" s="9" t="s">
        <v>13</v>
      </c>
      <c r="E604" t="s">
        <v>989</v>
      </c>
      <c r="F604" s="11">
        <v>41600</v>
      </c>
      <c r="G604" s="10">
        <v>1788.8</v>
      </c>
      <c r="H604" s="10">
        <v>43388.800000000003</v>
      </c>
      <c r="I604" s="9" t="s">
        <v>17</v>
      </c>
      <c r="J604" s="9" t="s">
        <v>14</v>
      </c>
      <c r="K604" s="4">
        <v>4.2999999999999997E-2</v>
      </c>
      <c r="L604" t="str">
        <f>IF(pg_1[[#This Row],[Salary]]&gt;=90000, "Met minimum", "Not met minimum")</f>
        <v>Not met minimum</v>
      </c>
    </row>
    <row r="605" spans="1:12" x14ac:dyDescent="0.25">
      <c r="A605" s="8">
        <v>604</v>
      </c>
      <c r="B605" s="9" t="s">
        <v>680</v>
      </c>
      <c r="C605" s="9" t="s">
        <v>7</v>
      </c>
      <c r="D605" s="9" t="s">
        <v>13</v>
      </c>
      <c r="E605" t="s">
        <v>991</v>
      </c>
      <c r="F605" s="11">
        <v>114470</v>
      </c>
      <c r="G605" s="10">
        <v>6982.67</v>
      </c>
      <c r="H605" s="10">
        <v>121452.67</v>
      </c>
      <c r="I605" s="9" t="s">
        <v>9</v>
      </c>
      <c r="J605" s="9" t="s">
        <v>10</v>
      </c>
      <c r="K605" s="4">
        <v>6.0999999999999999E-2</v>
      </c>
      <c r="L605" t="str">
        <f>IF(pg_1[[#This Row],[Salary]]&gt;=90000, "Met minimum", "Not met minimum")</f>
        <v>Met minimum</v>
      </c>
    </row>
    <row r="606" spans="1:12" x14ac:dyDescent="0.25">
      <c r="A606" s="8">
        <v>605</v>
      </c>
      <c r="B606" s="9" t="s">
        <v>681</v>
      </c>
      <c r="C606" s="9" t="s">
        <v>12</v>
      </c>
      <c r="D606" s="9" t="s">
        <v>67</v>
      </c>
      <c r="E606" t="s">
        <v>990</v>
      </c>
      <c r="F606" s="11">
        <v>31050</v>
      </c>
      <c r="G606" s="10">
        <v>1800.9</v>
      </c>
      <c r="H606" s="10">
        <v>32850.9</v>
      </c>
      <c r="I606" s="9" t="s">
        <v>21</v>
      </c>
      <c r="J606" s="9" t="s">
        <v>14</v>
      </c>
      <c r="K606" s="4">
        <v>5.8000000000000003E-2</v>
      </c>
      <c r="L606" t="str">
        <f>IF(pg_1[[#This Row],[Salary]]&gt;=90000, "Met minimum", "Not met minimum")</f>
        <v>Not met minimum</v>
      </c>
    </row>
    <row r="607" spans="1:12" x14ac:dyDescent="0.25">
      <c r="A607" s="8">
        <v>606</v>
      </c>
      <c r="B607" s="9" t="s">
        <v>682</v>
      </c>
      <c r="C607" s="9" t="s">
        <v>12</v>
      </c>
      <c r="D607" s="9" t="s">
        <v>42</v>
      </c>
      <c r="E607" t="s">
        <v>992</v>
      </c>
      <c r="F607" s="11">
        <v>76620</v>
      </c>
      <c r="G607" s="10">
        <v>3064.8</v>
      </c>
      <c r="H607" s="10">
        <v>79684.800000000003</v>
      </c>
      <c r="I607" s="9" t="s">
        <v>17</v>
      </c>
      <c r="J607" s="9" t="s">
        <v>28</v>
      </c>
      <c r="K607" s="4">
        <v>0.04</v>
      </c>
      <c r="L607" t="str">
        <f>IF(pg_1[[#This Row],[Salary]]&gt;=90000, "Met minimum", "Not met minimum")</f>
        <v>Not met minimum</v>
      </c>
    </row>
    <row r="608" spans="1:12" x14ac:dyDescent="0.25">
      <c r="A608" s="8">
        <v>607</v>
      </c>
      <c r="B608" s="9" t="s">
        <v>683</v>
      </c>
      <c r="C608" s="9" t="s">
        <v>7</v>
      </c>
      <c r="D608" s="9" t="s">
        <v>13</v>
      </c>
      <c r="E608" t="s">
        <v>992</v>
      </c>
      <c r="F608" s="11">
        <v>76190</v>
      </c>
      <c r="G608" s="10">
        <v>838.08999999999992</v>
      </c>
      <c r="H608" s="10">
        <v>77028.09</v>
      </c>
      <c r="I608" s="9" t="s">
        <v>17</v>
      </c>
      <c r="J608" s="9" t="s">
        <v>24</v>
      </c>
      <c r="K608" s="4">
        <v>1.0999999999999999E-2</v>
      </c>
      <c r="L608" t="str">
        <f>IF(pg_1[[#This Row],[Salary]]&gt;=90000, "Met minimum", "Not met minimum")</f>
        <v>Not met minimum</v>
      </c>
    </row>
    <row r="609" spans="1:12" x14ac:dyDescent="0.25">
      <c r="A609" s="8">
        <v>608</v>
      </c>
      <c r="B609" s="9" t="s">
        <v>684</v>
      </c>
      <c r="C609" s="9" t="s">
        <v>12</v>
      </c>
      <c r="D609" s="9" t="s">
        <v>50</v>
      </c>
      <c r="E609" t="s">
        <v>987</v>
      </c>
      <c r="F609" s="11">
        <v>50450</v>
      </c>
      <c r="G609" s="10">
        <v>1664.8500000000001</v>
      </c>
      <c r="H609" s="10">
        <v>52114.85</v>
      </c>
      <c r="I609" s="9" t="s">
        <v>9</v>
      </c>
      <c r="J609" s="9" t="s">
        <v>28</v>
      </c>
      <c r="K609" s="4">
        <v>3.3000000000000002E-2</v>
      </c>
      <c r="L609" t="str">
        <f>IF(pg_1[[#This Row],[Salary]]&gt;=90000, "Met minimum", "Not met minimum")</f>
        <v>Not met minimum</v>
      </c>
    </row>
    <row r="610" spans="1:12" x14ac:dyDescent="0.25">
      <c r="A610" s="8">
        <v>609</v>
      </c>
      <c r="B610" s="9" t="s">
        <v>685</v>
      </c>
      <c r="C610" s="9" t="s">
        <v>7</v>
      </c>
      <c r="D610" s="9" t="s">
        <v>31</v>
      </c>
      <c r="E610" t="s">
        <v>993</v>
      </c>
      <c r="F610" s="11">
        <v>29330</v>
      </c>
      <c r="G610" s="10">
        <v>674.59</v>
      </c>
      <c r="H610" s="10">
        <v>30004.59</v>
      </c>
      <c r="I610" s="9" t="s">
        <v>21</v>
      </c>
      <c r="J610" s="9" t="s">
        <v>28</v>
      </c>
      <c r="K610" s="4">
        <v>2.3E-2</v>
      </c>
      <c r="L610" t="str">
        <f>IF(pg_1[[#This Row],[Salary]]&gt;=90000, "Met minimum", "Not met minimum")</f>
        <v>Not met minimum</v>
      </c>
    </row>
    <row r="611" spans="1:12" x14ac:dyDescent="0.25">
      <c r="A611" s="8">
        <v>610</v>
      </c>
      <c r="B611" s="9" t="s">
        <v>686</v>
      </c>
      <c r="C611" s="9" t="s">
        <v>7</v>
      </c>
      <c r="D611" s="9" t="s">
        <v>67</v>
      </c>
      <c r="E611" t="s">
        <v>992</v>
      </c>
      <c r="F611" s="11">
        <v>76930</v>
      </c>
      <c r="G611" s="10">
        <v>2692.55</v>
      </c>
      <c r="H611" s="10">
        <v>79622.55</v>
      </c>
      <c r="I611" s="9" t="s">
        <v>17</v>
      </c>
      <c r="J611" s="9" t="s">
        <v>28</v>
      </c>
      <c r="K611" s="4">
        <v>3.5000000000000003E-2</v>
      </c>
      <c r="L611" t="str">
        <f>IF(pg_1[[#This Row],[Salary]]&gt;=90000, "Met minimum", "Not met minimum")</f>
        <v>Not met minimum</v>
      </c>
    </row>
    <row r="612" spans="1:12" x14ac:dyDescent="0.25">
      <c r="A612" s="8">
        <v>611</v>
      </c>
      <c r="B612" s="9" t="s">
        <v>687</v>
      </c>
      <c r="C612" s="9" t="s">
        <v>12</v>
      </c>
      <c r="D612" s="9" t="s">
        <v>27</v>
      </c>
      <c r="E612" t="s">
        <v>990</v>
      </c>
      <c r="F612" s="11">
        <v>33800</v>
      </c>
      <c r="G612" s="10">
        <v>912.6</v>
      </c>
      <c r="H612" s="10">
        <v>34712.6</v>
      </c>
      <c r="I612" s="9" t="s">
        <v>17</v>
      </c>
      <c r="J612" s="9" t="s">
        <v>28</v>
      </c>
      <c r="K612" s="4">
        <v>2.7E-2</v>
      </c>
      <c r="L612" t="str">
        <f>IF(pg_1[[#This Row],[Salary]]&gt;=90000, "Met minimum", "Not met minimum")</f>
        <v>Not met minimum</v>
      </c>
    </row>
    <row r="613" spans="1:12" x14ac:dyDescent="0.25">
      <c r="A613" s="8">
        <v>612</v>
      </c>
      <c r="B613" s="9" t="s">
        <v>688</v>
      </c>
      <c r="C613" s="9" t="s">
        <v>12</v>
      </c>
      <c r="D613" s="9" t="s">
        <v>67</v>
      </c>
      <c r="E613" t="s">
        <v>989</v>
      </c>
      <c r="F613" s="11">
        <v>44820</v>
      </c>
      <c r="G613" s="10">
        <v>1568.7</v>
      </c>
      <c r="H613" s="10">
        <v>46388.7</v>
      </c>
      <c r="I613" s="9" t="s">
        <v>17</v>
      </c>
      <c r="J613" s="9" t="s">
        <v>28</v>
      </c>
      <c r="K613" s="4">
        <v>3.5000000000000003E-2</v>
      </c>
      <c r="L613" t="str">
        <f>IF(pg_1[[#This Row],[Salary]]&gt;=90000, "Met minimum", "Not met minimum")</f>
        <v>Not met minimum</v>
      </c>
    </row>
    <row r="614" spans="1:12" x14ac:dyDescent="0.25">
      <c r="A614" s="8">
        <v>613</v>
      </c>
      <c r="B614" s="9" t="s">
        <v>689</v>
      </c>
      <c r="C614" s="9" t="s">
        <v>12</v>
      </c>
      <c r="D614" s="9" t="s">
        <v>50</v>
      </c>
      <c r="E614" t="s">
        <v>985</v>
      </c>
      <c r="F614" s="11">
        <v>84310</v>
      </c>
      <c r="G614" s="10">
        <v>2782.23</v>
      </c>
      <c r="H614" s="10">
        <v>87092.23</v>
      </c>
      <c r="I614" s="9" t="s">
        <v>9</v>
      </c>
      <c r="J614" s="9" t="s">
        <v>28</v>
      </c>
      <c r="K614" s="4">
        <v>3.3000000000000002E-2</v>
      </c>
      <c r="L614" t="str">
        <f>IF(pg_1[[#This Row],[Salary]]&gt;=90000, "Met minimum", "Not met minimum")</f>
        <v>Not met minimum</v>
      </c>
    </row>
    <row r="615" spans="1:12" x14ac:dyDescent="0.25">
      <c r="A615" s="8">
        <v>614</v>
      </c>
      <c r="B615" s="9" t="s">
        <v>690</v>
      </c>
      <c r="C615" s="9" t="s">
        <v>7</v>
      </c>
      <c r="D615" s="9" t="s">
        <v>20</v>
      </c>
      <c r="E615" t="s">
        <v>988</v>
      </c>
      <c r="F615" s="11">
        <v>108600</v>
      </c>
      <c r="G615" s="10">
        <v>6950.4000000000005</v>
      </c>
      <c r="H615" s="10">
        <v>115550.39999999999</v>
      </c>
      <c r="I615" s="9" t="s">
        <v>17</v>
      </c>
      <c r="J615" s="9" t="s">
        <v>10</v>
      </c>
      <c r="K615" s="4">
        <v>6.4000000000000001E-2</v>
      </c>
      <c r="L615" t="str">
        <f>IF(pg_1[[#This Row],[Salary]]&gt;=90000, "Met minimum", "Not met minimum")</f>
        <v>Met minimum</v>
      </c>
    </row>
    <row r="616" spans="1:12" x14ac:dyDescent="0.25">
      <c r="A616" s="8">
        <v>615</v>
      </c>
      <c r="B616" s="9" t="s">
        <v>691</v>
      </c>
      <c r="C616" s="9" t="s">
        <v>7</v>
      </c>
      <c r="D616" s="9" t="s">
        <v>37</v>
      </c>
      <c r="E616" t="s">
        <v>989</v>
      </c>
      <c r="F616" s="11">
        <v>47000</v>
      </c>
      <c r="G616" s="10">
        <v>1927</v>
      </c>
      <c r="H616" s="10">
        <v>48927</v>
      </c>
      <c r="I616" s="9" t="s">
        <v>17</v>
      </c>
      <c r="J616" s="9" t="s">
        <v>14</v>
      </c>
      <c r="K616" s="4">
        <v>4.1000000000000002E-2</v>
      </c>
      <c r="L616" t="str">
        <f>IF(pg_1[[#This Row],[Salary]]&gt;=90000, "Met minimum", "Not met minimum")</f>
        <v>Not met minimum</v>
      </c>
    </row>
    <row r="617" spans="1:12" x14ac:dyDescent="0.25">
      <c r="A617" s="8">
        <v>616</v>
      </c>
      <c r="B617" s="9" t="s">
        <v>692</v>
      </c>
      <c r="C617" s="9" t="s">
        <v>7</v>
      </c>
      <c r="D617" s="9" t="s">
        <v>37</v>
      </c>
      <c r="E617" t="s">
        <v>987</v>
      </c>
      <c r="F617" s="11">
        <v>59810</v>
      </c>
      <c r="G617" s="10">
        <v>1913.92</v>
      </c>
      <c r="H617" s="10">
        <v>61723.92</v>
      </c>
      <c r="I617" s="9" t="s">
        <v>9</v>
      </c>
      <c r="J617" s="9" t="s">
        <v>28</v>
      </c>
      <c r="K617" s="4">
        <v>3.2000000000000001E-2</v>
      </c>
      <c r="L617" t="str">
        <f>IF(pg_1[[#This Row],[Salary]]&gt;=90000, "Met minimum", "Not met minimum")</f>
        <v>Not met minimum</v>
      </c>
    </row>
    <row r="618" spans="1:12" x14ac:dyDescent="0.25">
      <c r="A618" s="8">
        <v>617</v>
      </c>
      <c r="B618" s="9" t="s">
        <v>693</v>
      </c>
      <c r="C618" s="9" t="s">
        <v>7</v>
      </c>
      <c r="D618" s="9" t="s">
        <v>20</v>
      </c>
      <c r="E618" t="s">
        <v>994</v>
      </c>
      <c r="F618" s="11">
        <v>90340</v>
      </c>
      <c r="G618" s="10">
        <v>1897.14</v>
      </c>
      <c r="H618" s="10">
        <v>92237.14</v>
      </c>
      <c r="I618" s="9" t="s">
        <v>21</v>
      </c>
      <c r="J618" s="9" t="s">
        <v>28</v>
      </c>
      <c r="K618" s="4">
        <v>2.1000000000000001E-2</v>
      </c>
      <c r="L618" t="str">
        <f>IF(pg_1[[#This Row],[Salary]]&gt;=90000, "Met minimum", "Not met minimum")</f>
        <v>Met minimum</v>
      </c>
    </row>
    <row r="619" spans="1:12" x14ac:dyDescent="0.25">
      <c r="A619" s="8">
        <v>618</v>
      </c>
      <c r="B619" s="9" t="s">
        <v>694</v>
      </c>
      <c r="C619" s="9" t="s">
        <v>7</v>
      </c>
      <c r="D619" s="9" t="s">
        <v>20</v>
      </c>
      <c r="E619" t="s">
        <v>986</v>
      </c>
      <c r="F619" s="11">
        <v>64270</v>
      </c>
      <c r="G619" s="10">
        <v>1349.67</v>
      </c>
      <c r="H619" s="10">
        <v>65619.67</v>
      </c>
      <c r="I619" s="9" t="s">
        <v>17</v>
      </c>
      <c r="J619" s="9" t="s">
        <v>28</v>
      </c>
      <c r="K619" s="4">
        <v>2.1000000000000001E-2</v>
      </c>
      <c r="L619" t="str">
        <f>IF(pg_1[[#This Row],[Salary]]&gt;=90000, "Met minimum", "Not met minimum")</f>
        <v>Not met minimum</v>
      </c>
    </row>
    <row r="620" spans="1:12" x14ac:dyDescent="0.25">
      <c r="A620" s="8">
        <v>619</v>
      </c>
      <c r="B620" s="9" t="s">
        <v>695</v>
      </c>
      <c r="C620" s="9" t="s">
        <v>12</v>
      </c>
      <c r="D620" s="9" t="s">
        <v>53</v>
      </c>
      <c r="E620" t="s">
        <v>988</v>
      </c>
      <c r="F620" s="11">
        <v>103990</v>
      </c>
      <c r="G620" s="10">
        <v>7383.2899999999991</v>
      </c>
      <c r="H620" s="10">
        <v>111373.29</v>
      </c>
      <c r="I620" s="9" t="s">
        <v>21</v>
      </c>
      <c r="J620" s="9" t="s">
        <v>10</v>
      </c>
      <c r="K620" s="4">
        <v>7.0999999999999994E-2</v>
      </c>
      <c r="L620" t="str">
        <f>IF(pg_1[[#This Row],[Salary]]&gt;=90000, "Met minimum", "Not met minimum")</f>
        <v>Met minimum</v>
      </c>
    </row>
    <row r="621" spans="1:12" x14ac:dyDescent="0.25">
      <c r="A621" s="8">
        <v>620</v>
      </c>
      <c r="B621" s="9" t="s">
        <v>696</v>
      </c>
      <c r="C621" s="9" t="s">
        <v>7</v>
      </c>
      <c r="D621" s="9" t="s">
        <v>8</v>
      </c>
      <c r="E621" t="s">
        <v>992</v>
      </c>
      <c r="F621" s="11">
        <v>70380</v>
      </c>
      <c r="G621" s="10">
        <v>3589.3799999999997</v>
      </c>
      <c r="H621" s="10">
        <v>73969.38</v>
      </c>
      <c r="I621" s="9" t="s">
        <v>9</v>
      </c>
      <c r="J621" s="9" t="s">
        <v>14</v>
      </c>
      <c r="K621" s="4">
        <v>5.0999999999999997E-2</v>
      </c>
      <c r="L621" t="str">
        <f>IF(pg_1[[#This Row],[Salary]]&gt;=90000, "Met minimum", "Not met minimum")</f>
        <v>Not met minimum</v>
      </c>
    </row>
    <row r="622" spans="1:12" x14ac:dyDescent="0.25">
      <c r="A622" s="8">
        <v>621</v>
      </c>
      <c r="B622" s="9" t="s">
        <v>697</v>
      </c>
      <c r="C622" s="9" t="s">
        <v>7</v>
      </c>
      <c r="D622" s="9" t="s">
        <v>20</v>
      </c>
      <c r="E622" t="s">
        <v>985</v>
      </c>
      <c r="F622" s="11">
        <v>89020</v>
      </c>
      <c r="G622" s="10">
        <v>1869.42</v>
      </c>
      <c r="H622" s="10">
        <v>90889.42</v>
      </c>
      <c r="I622" s="9" t="s">
        <v>9</v>
      </c>
      <c r="J622" s="9" t="s">
        <v>28</v>
      </c>
      <c r="K622" s="4">
        <v>2.1000000000000001E-2</v>
      </c>
      <c r="L622" t="str">
        <f>IF(pg_1[[#This Row],[Salary]]&gt;=90000, "Met minimum", "Not met minimum")</f>
        <v>Not met minimum</v>
      </c>
    </row>
    <row r="623" spans="1:12" x14ac:dyDescent="0.25">
      <c r="A623" s="8">
        <v>622</v>
      </c>
      <c r="B623" s="9" t="s">
        <v>698</v>
      </c>
      <c r="C623" s="9" t="s">
        <v>7</v>
      </c>
      <c r="D623" s="9" t="s">
        <v>20</v>
      </c>
      <c r="E623" t="s">
        <v>991</v>
      </c>
      <c r="F623" s="11">
        <v>113750</v>
      </c>
      <c r="G623" s="10">
        <v>2388.75</v>
      </c>
      <c r="H623" s="10">
        <v>116138.75</v>
      </c>
      <c r="I623" s="9" t="s">
        <v>21</v>
      </c>
      <c r="J623" s="9" t="s">
        <v>28</v>
      </c>
      <c r="K623" s="4">
        <v>2.1000000000000001E-2</v>
      </c>
      <c r="L623" t="str">
        <f>IF(pg_1[[#This Row],[Salary]]&gt;=90000, "Met minimum", "Not met minimum")</f>
        <v>Met minimum</v>
      </c>
    </row>
    <row r="624" spans="1:12" x14ac:dyDescent="0.25">
      <c r="A624" s="8">
        <v>623</v>
      </c>
      <c r="B624" s="9" t="s">
        <v>700</v>
      </c>
      <c r="C624" s="9" t="s">
        <v>12</v>
      </c>
      <c r="D624" s="9" t="s">
        <v>13</v>
      </c>
      <c r="E624" t="s">
        <v>990</v>
      </c>
      <c r="F624" s="11">
        <v>32720</v>
      </c>
      <c r="G624" s="10">
        <v>1145.2</v>
      </c>
      <c r="H624" s="10">
        <v>33865.199999999997</v>
      </c>
      <c r="I624" s="9" t="s">
        <v>21</v>
      </c>
      <c r="J624" s="9" t="s">
        <v>28</v>
      </c>
      <c r="K624" s="4">
        <v>3.5000000000000003E-2</v>
      </c>
      <c r="L624" t="str">
        <f>IF(pg_1[[#This Row],[Salary]]&gt;=90000, "Met minimum", "Not met minimum")</f>
        <v>Not met minimum</v>
      </c>
    </row>
    <row r="625" spans="1:12" x14ac:dyDescent="0.25">
      <c r="A625" s="8">
        <v>624</v>
      </c>
      <c r="B625" s="9" t="s">
        <v>701</v>
      </c>
      <c r="C625" s="9" t="s">
        <v>7</v>
      </c>
      <c r="D625" s="9" t="s">
        <v>31</v>
      </c>
      <c r="E625" t="s">
        <v>986</v>
      </c>
      <c r="F625" s="11">
        <v>61920</v>
      </c>
      <c r="G625" s="10">
        <v>1424.16</v>
      </c>
      <c r="H625" s="10">
        <v>63344.160000000003</v>
      </c>
      <c r="I625" s="9" t="s">
        <v>21</v>
      </c>
      <c r="J625" s="9" t="s">
        <v>28</v>
      </c>
      <c r="K625" s="4">
        <v>2.3E-2</v>
      </c>
      <c r="L625" t="str">
        <f>IF(pg_1[[#This Row],[Salary]]&gt;=90000, "Met minimum", "Not met minimum")</f>
        <v>Not met minimum</v>
      </c>
    </row>
    <row r="626" spans="1:12" x14ac:dyDescent="0.25">
      <c r="A626" s="8">
        <v>625</v>
      </c>
      <c r="B626" s="9" t="s">
        <v>702</v>
      </c>
      <c r="C626" s="9" t="s">
        <v>12</v>
      </c>
      <c r="D626" s="9" t="s">
        <v>67</v>
      </c>
      <c r="E626" t="s">
        <v>992</v>
      </c>
      <c r="F626" s="11">
        <v>74600</v>
      </c>
      <c r="G626" s="10">
        <v>7385.4000000000005</v>
      </c>
      <c r="H626" s="10">
        <v>81985.399999999994</v>
      </c>
      <c r="I626" s="9" t="s">
        <v>9</v>
      </c>
      <c r="J626" s="9" t="s">
        <v>10</v>
      </c>
      <c r="K626" s="4">
        <v>9.9000000000000005E-2</v>
      </c>
      <c r="L626" t="str">
        <f>IF(pg_1[[#This Row],[Salary]]&gt;=90000, "Met minimum", "Not met minimum")</f>
        <v>Not met minimum</v>
      </c>
    </row>
    <row r="627" spans="1:12" x14ac:dyDescent="0.25">
      <c r="A627" s="8">
        <v>626</v>
      </c>
      <c r="B627" s="9" t="s">
        <v>703</v>
      </c>
      <c r="C627" s="9" t="s">
        <v>7</v>
      </c>
      <c r="D627" s="9" t="s">
        <v>42</v>
      </c>
      <c r="E627" t="s">
        <v>990</v>
      </c>
      <c r="F627" s="11">
        <v>38030</v>
      </c>
      <c r="G627" s="10">
        <v>1521.2</v>
      </c>
      <c r="H627" s="10">
        <v>39551.199999999997</v>
      </c>
      <c r="I627" s="9" t="s">
        <v>17</v>
      </c>
      <c r="J627" s="9" t="s">
        <v>28</v>
      </c>
      <c r="K627" s="4">
        <v>0.04</v>
      </c>
      <c r="L627" t="str">
        <f>IF(pg_1[[#This Row],[Salary]]&gt;=90000, "Met minimum", "Not met minimum")</f>
        <v>Not met minimum</v>
      </c>
    </row>
    <row r="628" spans="1:12" x14ac:dyDescent="0.25">
      <c r="A628" s="8">
        <v>627</v>
      </c>
      <c r="B628" s="9" t="s">
        <v>704</v>
      </c>
      <c r="C628" s="9" t="s">
        <v>12</v>
      </c>
      <c r="D628" s="9" t="s">
        <v>31</v>
      </c>
      <c r="E628" t="s">
        <v>990</v>
      </c>
      <c r="F628" s="11">
        <v>30940</v>
      </c>
      <c r="G628" s="10">
        <v>154.70000000000002</v>
      </c>
      <c r="H628" s="10">
        <v>31094.7</v>
      </c>
      <c r="I628" s="9" t="s">
        <v>21</v>
      </c>
      <c r="J628" s="9" t="s">
        <v>51</v>
      </c>
      <c r="K628" s="4">
        <v>5.0000000000000001E-3</v>
      </c>
      <c r="L628" t="str">
        <f>IF(pg_1[[#This Row],[Salary]]&gt;=90000, "Met minimum", "Not met minimum")</f>
        <v>Not met minimum</v>
      </c>
    </row>
    <row r="629" spans="1:12" x14ac:dyDescent="0.25">
      <c r="A629" s="8">
        <v>628</v>
      </c>
      <c r="B629" s="9" t="s">
        <v>705</v>
      </c>
      <c r="C629" s="9" t="s">
        <v>7</v>
      </c>
      <c r="D629" s="9" t="s">
        <v>31</v>
      </c>
      <c r="E629" t="s">
        <v>993</v>
      </c>
      <c r="F629" s="11">
        <v>28870</v>
      </c>
      <c r="G629" s="10">
        <v>664.01</v>
      </c>
      <c r="H629" s="10">
        <v>29534.01</v>
      </c>
      <c r="I629" s="9" t="s">
        <v>21</v>
      </c>
      <c r="J629" s="9" t="s">
        <v>28</v>
      </c>
      <c r="K629" s="4">
        <v>2.3E-2</v>
      </c>
      <c r="L629" t="str">
        <f>IF(pg_1[[#This Row],[Salary]]&gt;=90000, "Met minimum", "Not met minimum")</f>
        <v>Not met minimum</v>
      </c>
    </row>
    <row r="630" spans="1:12" x14ac:dyDescent="0.25">
      <c r="A630" s="8">
        <v>629</v>
      </c>
      <c r="B630" s="9" t="s">
        <v>706</v>
      </c>
      <c r="C630" s="9" t="s">
        <v>12</v>
      </c>
      <c r="D630" s="9" t="s">
        <v>67</v>
      </c>
      <c r="E630" t="s">
        <v>992</v>
      </c>
      <c r="F630" s="11">
        <v>71210</v>
      </c>
      <c r="G630" s="10">
        <v>7049.79</v>
      </c>
      <c r="H630" s="10">
        <v>78259.789999999994</v>
      </c>
      <c r="I630" s="9" t="s">
        <v>17</v>
      </c>
      <c r="J630" s="9" t="s">
        <v>10</v>
      </c>
      <c r="K630" s="4">
        <v>9.9000000000000005E-2</v>
      </c>
      <c r="L630" t="str">
        <f>IF(pg_1[[#This Row],[Salary]]&gt;=90000, "Met minimum", "Not met minimum")</f>
        <v>Not met minimum</v>
      </c>
    </row>
    <row r="631" spans="1:12" x14ac:dyDescent="0.25">
      <c r="A631" s="8">
        <v>630</v>
      </c>
      <c r="B631" s="9" t="s">
        <v>707</v>
      </c>
      <c r="C631" s="9" t="s">
        <v>7</v>
      </c>
      <c r="D631" s="9" t="s">
        <v>42</v>
      </c>
      <c r="E631" t="s">
        <v>986</v>
      </c>
      <c r="F631" s="11">
        <v>63450</v>
      </c>
      <c r="G631" s="10">
        <v>3743.5499999999997</v>
      </c>
      <c r="H631" s="10">
        <v>67193.55</v>
      </c>
      <c r="I631" s="9" t="s">
        <v>21</v>
      </c>
      <c r="J631" s="9" t="s">
        <v>14</v>
      </c>
      <c r="K631" s="4">
        <v>5.8999999999999997E-2</v>
      </c>
      <c r="L631" t="str">
        <f>IF(pg_1[[#This Row],[Salary]]&gt;=90000, "Met minimum", "Not met minimum")</f>
        <v>Not met minimum</v>
      </c>
    </row>
    <row r="632" spans="1:12" x14ac:dyDescent="0.25">
      <c r="A632" s="8">
        <v>631</v>
      </c>
      <c r="B632" s="9" t="s">
        <v>708</v>
      </c>
      <c r="C632" s="9" t="s">
        <v>12</v>
      </c>
      <c r="D632" s="9" t="s">
        <v>31</v>
      </c>
      <c r="E632" t="s">
        <v>985</v>
      </c>
      <c r="F632" s="11">
        <v>87930</v>
      </c>
      <c r="G632" s="10">
        <v>439.65000000000003</v>
      </c>
      <c r="H632" s="10">
        <v>88369.65</v>
      </c>
      <c r="I632" s="9" t="s">
        <v>17</v>
      </c>
      <c r="J632" s="9" t="s">
        <v>51</v>
      </c>
      <c r="K632" s="4">
        <v>5.0000000000000001E-3</v>
      </c>
      <c r="L632" t="str">
        <f>IF(pg_1[[#This Row],[Salary]]&gt;=90000, "Met minimum", "Not met minimum")</f>
        <v>Not met minimum</v>
      </c>
    </row>
    <row r="633" spans="1:12" x14ac:dyDescent="0.25">
      <c r="A633" s="8">
        <v>632</v>
      </c>
      <c r="B633" s="9" t="s">
        <v>709</v>
      </c>
      <c r="C633" s="9" t="s">
        <v>7</v>
      </c>
      <c r="D633" s="9" t="s">
        <v>34</v>
      </c>
      <c r="E633" t="s">
        <v>988</v>
      </c>
      <c r="F633" s="11">
        <v>101610</v>
      </c>
      <c r="G633" s="10">
        <v>2438.64</v>
      </c>
      <c r="H633" s="10">
        <v>104048.64</v>
      </c>
      <c r="I633" s="9" t="s">
        <v>21</v>
      </c>
      <c r="J633" s="9" t="s">
        <v>28</v>
      </c>
      <c r="K633" s="4">
        <v>2.4E-2</v>
      </c>
      <c r="L633" t="str">
        <f>IF(pg_1[[#This Row],[Salary]]&gt;=90000, "Met minimum", "Not met minimum")</f>
        <v>Met minimum</v>
      </c>
    </row>
    <row r="634" spans="1:12" x14ac:dyDescent="0.25">
      <c r="A634" s="8">
        <v>633</v>
      </c>
      <c r="B634" s="9" t="s">
        <v>710</v>
      </c>
      <c r="C634" s="9" t="s">
        <v>12</v>
      </c>
      <c r="D634" s="9" t="s">
        <v>31</v>
      </c>
      <c r="E634" t="s">
        <v>993</v>
      </c>
      <c r="F634" s="11">
        <v>28310</v>
      </c>
      <c r="G634" s="10">
        <v>651.13</v>
      </c>
      <c r="H634" s="10">
        <v>28961.13</v>
      </c>
      <c r="I634" s="9" t="s">
        <v>17</v>
      </c>
      <c r="J634" s="9" t="s">
        <v>28</v>
      </c>
      <c r="K634" s="4">
        <v>2.3E-2</v>
      </c>
      <c r="L634" t="str">
        <f>IF(pg_1[[#This Row],[Salary]]&gt;=90000, "Met minimum", "Not met minimum")</f>
        <v>Not met minimum</v>
      </c>
    </row>
    <row r="635" spans="1:12" x14ac:dyDescent="0.25">
      <c r="A635" s="8">
        <v>634</v>
      </c>
      <c r="B635" s="9" t="s">
        <v>711</v>
      </c>
      <c r="C635" s="9" t="s">
        <v>7</v>
      </c>
      <c r="D635" s="9" t="s">
        <v>20</v>
      </c>
      <c r="E635" t="s">
        <v>985</v>
      </c>
      <c r="F635" s="11">
        <v>89840</v>
      </c>
      <c r="G635" s="10">
        <v>5749.76</v>
      </c>
      <c r="H635" s="10">
        <v>95589.759999999995</v>
      </c>
      <c r="I635" s="9" t="s">
        <v>17</v>
      </c>
      <c r="J635" s="9" t="s">
        <v>10</v>
      </c>
      <c r="K635" s="4">
        <v>6.4000000000000001E-2</v>
      </c>
      <c r="L635" t="str">
        <f>IF(pg_1[[#This Row],[Salary]]&gt;=90000, "Met minimum", "Not met minimum")</f>
        <v>Not met minimum</v>
      </c>
    </row>
    <row r="636" spans="1:12" x14ac:dyDescent="0.25">
      <c r="A636" s="8">
        <v>635</v>
      </c>
      <c r="B636" s="9" t="s">
        <v>712</v>
      </c>
      <c r="C636" s="9" t="s">
        <v>7</v>
      </c>
      <c r="D636" s="9" t="s">
        <v>23</v>
      </c>
      <c r="E636" t="s">
        <v>994</v>
      </c>
      <c r="F636" s="11">
        <v>96250</v>
      </c>
      <c r="G636" s="10">
        <v>2695</v>
      </c>
      <c r="H636" s="10">
        <v>98945</v>
      </c>
      <c r="I636" s="9" t="s">
        <v>9</v>
      </c>
      <c r="J636" s="9" t="s">
        <v>28</v>
      </c>
      <c r="K636" s="4">
        <v>2.8000000000000001E-2</v>
      </c>
      <c r="L636" t="str">
        <f>IF(pg_1[[#This Row],[Salary]]&gt;=90000, "Met minimum", "Not met minimum")</f>
        <v>Met minimum</v>
      </c>
    </row>
    <row r="637" spans="1:12" x14ac:dyDescent="0.25">
      <c r="A637" s="8">
        <v>636</v>
      </c>
      <c r="B637" s="9" t="s">
        <v>713</v>
      </c>
      <c r="C637" s="9" t="s">
        <v>7</v>
      </c>
      <c r="D637" s="9" t="s">
        <v>37</v>
      </c>
      <c r="E637" t="s">
        <v>991</v>
      </c>
      <c r="F637" s="11">
        <v>112460</v>
      </c>
      <c r="G637" s="10">
        <v>1124.6000000000001</v>
      </c>
      <c r="H637" s="10">
        <v>113584.6</v>
      </c>
      <c r="I637" s="9" t="s">
        <v>21</v>
      </c>
      <c r="J637" s="9" t="s">
        <v>24</v>
      </c>
      <c r="K637" s="4">
        <v>0.01</v>
      </c>
      <c r="L637" t="str">
        <f>IF(pg_1[[#This Row],[Salary]]&gt;=90000, "Met minimum", "Not met minimum")</f>
        <v>Met minimum</v>
      </c>
    </row>
    <row r="638" spans="1:12" x14ac:dyDescent="0.25">
      <c r="A638" s="8">
        <v>637</v>
      </c>
      <c r="B638" s="9" t="s">
        <v>714</v>
      </c>
      <c r="C638" s="9" t="s">
        <v>970</v>
      </c>
      <c r="D638" s="9" t="s">
        <v>27</v>
      </c>
      <c r="E638" t="s">
        <v>991</v>
      </c>
      <c r="F638" s="11">
        <v>115440</v>
      </c>
      <c r="G638" s="10">
        <v>3116.88</v>
      </c>
      <c r="H638" s="10">
        <v>118556.88</v>
      </c>
      <c r="I638" s="9" t="s">
        <v>17</v>
      </c>
      <c r="J638" s="9" t="s">
        <v>28</v>
      </c>
      <c r="K638" s="4">
        <v>2.7E-2</v>
      </c>
      <c r="L638" t="str">
        <f>IF(pg_1[[#This Row],[Salary]]&gt;=90000, "Met minimum", "Not met minimum")</f>
        <v>Met minimum</v>
      </c>
    </row>
    <row r="639" spans="1:12" x14ac:dyDescent="0.25">
      <c r="A639" s="8">
        <v>638</v>
      </c>
      <c r="B639" s="9" t="s">
        <v>715</v>
      </c>
      <c r="C639" s="9" t="s">
        <v>12</v>
      </c>
      <c r="D639" s="9" t="s">
        <v>42</v>
      </c>
      <c r="E639" t="s">
        <v>990</v>
      </c>
      <c r="F639" s="11">
        <v>33920</v>
      </c>
      <c r="G639" s="10">
        <v>1356.8</v>
      </c>
      <c r="H639" s="10">
        <v>35276.800000000003</v>
      </c>
      <c r="I639" s="9" t="s">
        <v>21</v>
      </c>
      <c r="J639" s="9" t="s">
        <v>28</v>
      </c>
      <c r="K639" s="4">
        <v>0.04</v>
      </c>
      <c r="L639" t="str">
        <f>IF(pg_1[[#This Row],[Salary]]&gt;=90000, "Met minimum", "Not met minimum")</f>
        <v>Not met minimum</v>
      </c>
    </row>
    <row r="640" spans="1:12" x14ac:dyDescent="0.25">
      <c r="A640" s="8">
        <v>639</v>
      </c>
      <c r="B640" s="9" t="s">
        <v>716</v>
      </c>
      <c r="C640" s="9" t="s">
        <v>7</v>
      </c>
      <c r="D640" s="9" t="s">
        <v>23</v>
      </c>
      <c r="E640" t="s">
        <v>989</v>
      </c>
      <c r="F640" s="11">
        <v>46280</v>
      </c>
      <c r="G640" s="10">
        <v>1295.8399999999999</v>
      </c>
      <c r="H640" s="10">
        <v>47575.839999999997</v>
      </c>
      <c r="I640" s="9" t="s">
        <v>9</v>
      </c>
      <c r="J640" s="9" t="s">
        <v>28</v>
      </c>
      <c r="K640" s="4">
        <v>2.8000000000000001E-2</v>
      </c>
      <c r="L640" t="str">
        <f>IF(pg_1[[#This Row],[Salary]]&gt;=90000, "Met minimum", "Not met minimum")</f>
        <v>Not met minimum</v>
      </c>
    </row>
    <row r="641" spans="1:12" x14ac:dyDescent="0.25">
      <c r="A641" s="8">
        <v>640</v>
      </c>
      <c r="B641" s="9" t="s">
        <v>717</v>
      </c>
      <c r="C641" s="9" t="s">
        <v>12</v>
      </c>
      <c r="D641" s="9" t="s">
        <v>23</v>
      </c>
      <c r="E641" t="s">
        <v>987</v>
      </c>
      <c r="F641" s="11">
        <v>58940</v>
      </c>
      <c r="G641" s="10">
        <v>1650.32</v>
      </c>
      <c r="H641" s="10">
        <v>60590.32</v>
      </c>
      <c r="I641" s="9" t="s">
        <v>21</v>
      </c>
      <c r="J641" s="9" t="s">
        <v>28</v>
      </c>
      <c r="K641" s="4">
        <v>2.8000000000000001E-2</v>
      </c>
      <c r="L641" t="str">
        <f>IF(pg_1[[#This Row],[Salary]]&gt;=90000, "Met minimum", "Not met minimum")</f>
        <v>Not met minimum</v>
      </c>
    </row>
    <row r="642" spans="1:12" x14ac:dyDescent="0.25">
      <c r="A642" s="8">
        <v>641</v>
      </c>
      <c r="B642" s="9" t="s">
        <v>718</v>
      </c>
      <c r="C642" s="9" t="s">
        <v>12</v>
      </c>
      <c r="D642" s="9" t="s">
        <v>67</v>
      </c>
      <c r="E642" t="s">
        <v>991</v>
      </c>
      <c r="F642" s="11">
        <v>118980</v>
      </c>
      <c r="G642" s="10">
        <v>0</v>
      </c>
      <c r="H642" s="10">
        <v>118980</v>
      </c>
      <c r="I642" s="9" t="s">
        <v>17</v>
      </c>
      <c r="J642" s="9" t="s">
        <v>18</v>
      </c>
      <c r="K642" s="4">
        <v>0</v>
      </c>
      <c r="L642" t="str">
        <f>IF(pg_1[[#This Row],[Salary]]&gt;=90000, "Met minimum", "Not met minimum")</f>
        <v>Met minimum</v>
      </c>
    </row>
    <row r="643" spans="1:12" x14ac:dyDescent="0.25">
      <c r="A643" s="8">
        <v>642</v>
      </c>
      <c r="B643" s="9" t="s">
        <v>719</v>
      </c>
      <c r="C643" s="9" t="s">
        <v>7</v>
      </c>
      <c r="D643" s="9" t="s">
        <v>8</v>
      </c>
      <c r="E643" t="s">
        <v>994</v>
      </c>
      <c r="F643" s="11">
        <v>96750</v>
      </c>
      <c r="G643" s="10">
        <v>2031.7500000000002</v>
      </c>
      <c r="H643" s="10">
        <v>98781.75</v>
      </c>
      <c r="I643" s="9" t="s">
        <v>21</v>
      </c>
      <c r="J643" s="9" t="s">
        <v>28</v>
      </c>
      <c r="K643" s="4">
        <v>2.1000000000000001E-2</v>
      </c>
      <c r="L643" t="str">
        <f>IF(pg_1[[#This Row],[Salary]]&gt;=90000, "Met minimum", "Not met minimum")</f>
        <v>Met minimum</v>
      </c>
    </row>
    <row r="644" spans="1:12" x14ac:dyDescent="0.25">
      <c r="A644" s="8">
        <v>643</v>
      </c>
      <c r="B644" s="9" t="s">
        <v>720</v>
      </c>
      <c r="C644" s="9" t="s">
        <v>970</v>
      </c>
      <c r="D644" s="9" t="s">
        <v>20</v>
      </c>
      <c r="E644" t="s">
        <v>988</v>
      </c>
      <c r="F644" s="11">
        <v>101220</v>
      </c>
      <c r="G644" s="10">
        <v>5465.88</v>
      </c>
      <c r="H644" s="10">
        <v>106685.88</v>
      </c>
      <c r="I644" s="9" t="s">
        <v>21</v>
      </c>
      <c r="J644" s="9" t="s">
        <v>14</v>
      </c>
      <c r="K644" s="4">
        <v>5.3999999999999999E-2</v>
      </c>
      <c r="L644" t="str">
        <f>IF(pg_1[[#This Row],[Salary]]&gt;=90000, "Met minimum", "Not met minimum")</f>
        <v>Met minimum</v>
      </c>
    </row>
    <row r="645" spans="1:12" x14ac:dyDescent="0.25">
      <c r="A645" s="8">
        <v>644</v>
      </c>
      <c r="B645" s="9" t="s">
        <v>721</v>
      </c>
      <c r="C645" s="9" t="s">
        <v>7</v>
      </c>
      <c r="D645" s="9" t="s">
        <v>37</v>
      </c>
      <c r="E645" t="s">
        <v>986</v>
      </c>
      <c r="F645" s="11">
        <v>63020</v>
      </c>
      <c r="G645" s="10">
        <v>2016.64</v>
      </c>
      <c r="H645" s="10">
        <v>65036.639999999999</v>
      </c>
      <c r="I645" s="9" t="s">
        <v>17</v>
      </c>
      <c r="J645" s="9" t="s">
        <v>28</v>
      </c>
      <c r="K645" s="4">
        <v>3.2000000000000001E-2</v>
      </c>
      <c r="L645" t="str">
        <f>IF(pg_1[[#This Row],[Salary]]&gt;=90000, "Met minimum", "Not met minimum")</f>
        <v>Not met minimum</v>
      </c>
    </row>
    <row r="646" spans="1:12" x14ac:dyDescent="0.25">
      <c r="A646" s="8">
        <v>645</v>
      </c>
      <c r="B646" s="9" t="s">
        <v>722</v>
      </c>
      <c r="C646" s="9" t="s">
        <v>7</v>
      </c>
      <c r="D646" s="9" t="s">
        <v>34</v>
      </c>
      <c r="E646" t="s">
        <v>992</v>
      </c>
      <c r="F646" s="11">
        <v>75920</v>
      </c>
      <c r="G646" s="10">
        <v>3796</v>
      </c>
      <c r="H646" s="10">
        <v>79716</v>
      </c>
      <c r="I646" s="9" t="s">
        <v>21</v>
      </c>
      <c r="J646" s="9" t="s">
        <v>14</v>
      </c>
      <c r="K646" s="4">
        <v>0.05</v>
      </c>
      <c r="L646" t="str">
        <f>IF(pg_1[[#This Row],[Salary]]&gt;=90000, "Met minimum", "Not met minimum")</f>
        <v>Not met minimum</v>
      </c>
    </row>
    <row r="647" spans="1:12" x14ac:dyDescent="0.25">
      <c r="A647" s="8">
        <v>646</v>
      </c>
      <c r="B647" s="9" t="s">
        <v>723</v>
      </c>
      <c r="C647" s="9" t="s">
        <v>7</v>
      </c>
      <c r="D647" s="9" t="s">
        <v>20</v>
      </c>
      <c r="E647" t="s">
        <v>994</v>
      </c>
      <c r="F647" s="11">
        <v>93080</v>
      </c>
      <c r="G647" s="10">
        <v>1954.68</v>
      </c>
      <c r="H647" s="10">
        <v>95034.68</v>
      </c>
      <c r="I647" s="9" t="s">
        <v>9</v>
      </c>
      <c r="J647" s="9" t="s">
        <v>28</v>
      </c>
      <c r="K647" s="4">
        <v>2.1000000000000001E-2</v>
      </c>
      <c r="L647" t="str">
        <f>IF(pg_1[[#This Row],[Salary]]&gt;=90000, "Met minimum", "Not met minimum")</f>
        <v>Met minimum</v>
      </c>
    </row>
    <row r="648" spans="1:12" x14ac:dyDescent="0.25">
      <c r="A648" s="8">
        <v>647</v>
      </c>
      <c r="B648" s="9" t="s">
        <v>724</v>
      </c>
      <c r="C648" s="9" t="s">
        <v>7</v>
      </c>
      <c r="D648" s="9" t="s">
        <v>8</v>
      </c>
      <c r="E648" t="s">
        <v>986</v>
      </c>
      <c r="F648" s="11">
        <v>68860</v>
      </c>
      <c r="G648" s="10">
        <v>3511.8599999999997</v>
      </c>
      <c r="H648" s="10">
        <v>72371.86</v>
      </c>
      <c r="I648" s="9" t="s">
        <v>9</v>
      </c>
      <c r="J648" s="9" t="s">
        <v>14</v>
      </c>
      <c r="K648" s="4">
        <v>5.0999999999999997E-2</v>
      </c>
      <c r="L648" t="str">
        <f>IF(pg_1[[#This Row],[Salary]]&gt;=90000, "Met minimum", "Not met minimum")</f>
        <v>Not met minimum</v>
      </c>
    </row>
    <row r="649" spans="1:12" x14ac:dyDescent="0.25">
      <c r="A649" s="8">
        <v>648</v>
      </c>
      <c r="B649" s="9" t="s">
        <v>725</v>
      </c>
      <c r="C649" s="9" t="s">
        <v>7</v>
      </c>
      <c r="D649" s="9" t="s">
        <v>13</v>
      </c>
      <c r="E649" t="s">
        <v>991</v>
      </c>
      <c r="F649" s="11">
        <v>118980</v>
      </c>
      <c r="G649" s="10">
        <v>1308.78</v>
      </c>
      <c r="H649" s="10">
        <v>120288.78</v>
      </c>
      <c r="I649" s="9" t="s">
        <v>17</v>
      </c>
      <c r="J649" s="9" t="s">
        <v>24</v>
      </c>
      <c r="K649" s="4">
        <v>1.0999999999999999E-2</v>
      </c>
      <c r="L649" t="str">
        <f>IF(pg_1[[#This Row],[Salary]]&gt;=90000, "Met minimum", "Not met minimum")</f>
        <v>Met minimum</v>
      </c>
    </row>
    <row r="650" spans="1:12" x14ac:dyDescent="0.25">
      <c r="A650" s="8">
        <v>649</v>
      </c>
      <c r="B650" s="9" t="s">
        <v>726</v>
      </c>
      <c r="C650" s="9" t="s">
        <v>970</v>
      </c>
      <c r="D650" s="9" t="s">
        <v>20</v>
      </c>
      <c r="E650" t="s">
        <v>988</v>
      </c>
      <c r="F650" s="11">
        <v>106460</v>
      </c>
      <c r="G650" s="10">
        <v>5748.84</v>
      </c>
      <c r="H650" s="10">
        <v>112208.84</v>
      </c>
      <c r="I650" s="9" t="s">
        <v>9</v>
      </c>
      <c r="J650" s="9" t="s">
        <v>14</v>
      </c>
      <c r="K650" s="4">
        <v>5.3999999999999999E-2</v>
      </c>
      <c r="L650" t="str">
        <f>IF(pg_1[[#This Row],[Salary]]&gt;=90000, "Met minimum", "Not met minimum")</f>
        <v>Met minimum</v>
      </c>
    </row>
    <row r="651" spans="1:12" x14ac:dyDescent="0.25">
      <c r="A651" s="8">
        <v>650</v>
      </c>
      <c r="B651" s="9" t="s">
        <v>727</v>
      </c>
      <c r="C651" s="9" t="s">
        <v>12</v>
      </c>
      <c r="D651" s="9" t="s">
        <v>34</v>
      </c>
      <c r="E651" t="s">
        <v>992</v>
      </c>
      <c r="F651" s="11">
        <v>70650</v>
      </c>
      <c r="G651" s="10">
        <v>3532.5</v>
      </c>
      <c r="H651" s="10">
        <v>74182.5</v>
      </c>
      <c r="I651" s="9" t="s">
        <v>21</v>
      </c>
      <c r="J651" s="9" t="s">
        <v>14</v>
      </c>
      <c r="K651" s="4">
        <v>0.05</v>
      </c>
      <c r="L651" t="str">
        <f>IF(pg_1[[#This Row],[Salary]]&gt;=90000, "Met minimum", "Not met minimum")</f>
        <v>Not met minimum</v>
      </c>
    </row>
    <row r="652" spans="1:12" x14ac:dyDescent="0.25">
      <c r="A652" s="8">
        <v>651</v>
      </c>
      <c r="B652" s="9" t="s">
        <v>729</v>
      </c>
      <c r="C652" s="9" t="s">
        <v>12</v>
      </c>
      <c r="D652" s="9" t="s">
        <v>8</v>
      </c>
      <c r="E652" t="s">
        <v>992</v>
      </c>
      <c r="F652" s="11">
        <v>77050</v>
      </c>
      <c r="G652" s="10">
        <v>3929.5499999999997</v>
      </c>
      <c r="H652" s="10">
        <v>80979.55</v>
      </c>
      <c r="I652" s="9" t="s">
        <v>17</v>
      </c>
      <c r="J652" s="9" t="s">
        <v>14</v>
      </c>
      <c r="K652" s="4">
        <v>5.0999999999999997E-2</v>
      </c>
      <c r="L652" t="str">
        <f>IF(pg_1[[#This Row],[Salary]]&gt;=90000, "Met minimum", "Not met minimum")</f>
        <v>Not met minimum</v>
      </c>
    </row>
    <row r="653" spans="1:12" x14ac:dyDescent="0.25">
      <c r="A653" s="8">
        <v>652</v>
      </c>
      <c r="B653" s="9" t="s">
        <v>730</v>
      </c>
      <c r="C653" s="9" t="s">
        <v>12</v>
      </c>
      <c r="D653" s="9" t="s">
        <v>20</v>
      </c>
      <c r="E653" t="s">
        <v>985</v>
      </c>
      <c r="F653" s="11">
        <v>89360</v>
      </c>
      <c r="G653" s="10">
        <v>4825.4399999999996</v>
      </c>
      <c r="H653" s="10">
        <v>94185.44</v>
      </c>
      <c r="I653" s="9" t="s">
        <v>17</v>
      </c>
      <c r="J653" s="9" t="s">
        <v>14</v>
      </c>
      <c r="K653" s="4">
        <v>5.3999999999999999E-2</v>
      </c>
      <c r="L653" t="str">
        <f>IF(pg_1[[#This Row],[Salary]]&gt;=90000, "Met minimum", "Not met minimum")</f>
        <v>Not met minimum</v>
      </c>
    </row>
    <row r="654" spans="1:12" x14ac:dyDescent="0.25">
      <c r="A654" s="8">
        <v>653</v>
      </c>
      <c r="B654" s="9" t="s">
        <v>731</v>
      </c>
      <c r="C654" s="9" t="s">
        <v>12</v>
      </c>
      <c r="D654" s="9" t="s">
        <v>20</v>
      </c>
      <c r="E654" t="s">
        <v>990</v>
      </c>
      <c r="F654" s="11">
        <v>37840</v>
      </c>
      <c r="G654" s="10">
        <v>718.96</v>
      </c>
      <c r="H654" s="10">
        <v>38558.959999999999</v>
      </c>
      <c r="I654" s="9" t="s">
        <v>21</v>
      </c>
      <c r="J654" s="9" t="s">
        <v>24</v>
      </c>
      <c r="K654" s="4">
        <v>1.9E-2</v>
      </c>
      <c r="L654" t="str">
        <f>IF(pg_1[[#This Row],[Salary]]&gt;=90000, "Met minimum", "Not met minimum")</f>
        <v>Not met minimum</v>
      </c>
    </row>
    <row r="655" spans="1:12" x14ac:dyDescent="0.25">
      <c r="A655" s="8">
        <v>654</v>
      </c>
      <c r="B655" s="9" t="s">
        <v>732</v>
      </c>
      <c r="C655" s="9" t="s">
        <v>7</v>
      </c>
      <c r="D655" s="9" t="s">
        <v>34</v>
      </c>
      <c r="E655" t="s">
        <v>985</v>
      </c>
      <c r="F655" s="11">
        <v>89160</v>
      </c>
      <c r="G655" s="10">
        <v>2139.84</v>
      </c>
      <c r="H655" s="10">
        <v>91299.839999999997</v>
      </c>
      <c r="I655" s="9" t="s">
        <v>17</v>
      </c>
      <c r="J655" s="9" t="s">
        <v>28</v>
      </c>
      <c r="K655" s="4">
        <v>2.4E-2</v>
      </c>
      <c r="L655" t="str">
        <f>IF(pg_1[[#This Row],[Salary]]&gt;=90000, "Met minimum", "Not met minimum")</f>
        <v>Not met minimum</v>
      </c>
    </row>
    <row r="656" spans="1:12" x14ac:dyDescent="0.25">
      <c r="A656" s="8">
        <v>655</v>
      </c>
      <c r="B656" s="9" t="s">
        <v>733</v>
      </c>
      <c r="C656" s="9" t="s">
        <v>12</v>
      </c>
      <c r="D656" s="9" t="s">
        <v>42</v>
      </c>
      <c r="E656" t="s">
        <v>992</v>
      </c>
      <c r="F656" s="11">
        <v>74110</v>
      </c>
      <c r="G656" s="10">
        <v>4668.93</v>
      </c>
      <c r="H656" s="10">
        <v>78778.929999999993</v>
      </c>
      <c r="I656" s="9" t="s">
        <v>21</v>
      </c>
      <c r="J656" s="9" t="s">
        <v>10</v>
      </c>
      <c r="K656" s="4">
        <v>6.3E-2</v>
      </c>
      <c r="L656" t="str">
        <f>IF(pg_1[[#This Row],[Salary]]&gt;=90000, "Met minimum", "Not met minimum")</f>
        <v>Not met minimum</v>
      </c>
    </row>
    <row r="657" spans="1:12" x14ac:dyDescent="0.25">
      <c r="A657" s="8">
        <v>656</v>
      </c>
      <c r="B657" s="9" t="s">
        <v>734</v>
      </c>
      <c r="C657" s="9" t="s">
        <v>7</v>
      </c>
      <c r="D657" s="9" t="s">
        <v>31</v>
      </c>
      <c r="E657" t="s">
        <v>990</v>
      </c>
      <c r="F657" s="11">
        <v>31630</v>
      </c>
      <c r="G657" s="10">
        <v>474.45</v>
      </c>
      <c r="H657" s="10">
        <v>32104.45</v>
      </c>
      <c r="I657" s="9" t="s">
        <v>21</v>
      </c>
      <c r="J657" s="9" t="s">
        <v>24</v>
      </c>
      <c r="K657" s="4">
        <v>1.4999999999999999E-2</v>
      </c>
      <c r="L657" t="str">
        <f>IF(pg_1[[#This Row],[Salary]]&gt;=90000, "Met minimum", "Not met minimum")</f>
        <v>Not met minimum</v>
      </c>
    </row>
    <row r="658" spans="1:12" x14ac:dyDescent="0.25">
      <c r="A658" s="8">
        <v>657</v>
      </c>
      <c r="B658" s="9" t="s">
        <v>735</v>
      </c>
      <c r="C658" s="9" t="s">
        <v>12</v>
      </c>
      <c r="D658" s="9" t="s">
        <v>50</v>
      </c>
      <c r="E658" t="s">
        <v>989</v>
      </c>
      <c r="F658" s="11">
        <v>40910</v>
      </c>
      <c r="G658" s="10">
        <v>818.2</v>
      </c>
      <c r="H658" s="10">
        <v>41728.199999999997</v>
      </c>
      <c r="I658" s="9" t="s">
        <v>17</v>
      </c>
      <c r="J658" s="9" t="s">
        <v>24</v>
      </c>
      <c r="K658" s="4">
        <v>0.02</v>
      </c>
      <c r="L658" t="str">
        <f>IF(pg_1[[#This Row],[Salary]]&gt;=90000, "Met minimum", "Not met minimum")</f>
        <v>Not met minimum</v>
      </c>
    </row>
    <row r="659" spans="1:12" x14ac:dyDescent="0.25">
      <c r="A659" s="8">
        <v>658</v>
      </c>
      <c r="B659" s="9" t="s">
        <v>736</v>
      </c>
      <c r="C659" s="9" t="s">
        <v>7</v>
      </c>
      <c r="D659" s="9" t="s">
        <v>8</v>
      </c>
      <c r="E659" t="s">
        <v>990</v>
      </c>
      <c r="F659" s="11">
        <v>32190</v>
      </c>
      <c r="G659" s="10">
        <v>675.99</v>
      </c>
      <c r="H659" s="10">
        <v>32865.99</v>
      </c>
      <c r="I659" s="9" t="s">
        <v>21</v>
      </c>
      <c r="J659" s="9" t="s">
        <v>28</v>
      </c>
      <c r="K659" s="4">
        <v>2.1000000000000001E-2</v>
      </c>
      <c r="L659" t="str">
        <f>IF(pg_1[[#This Row],[Salary]]&gt;=90000, "Met minimum", "Not met minimum")</f>
        <v>Not met minimum</v>
      </c>
    </row>
    <row r="660" spans="1:12" x14ac:dyDescent="0.25">
      <c r="A660" s="8">
        <v>659</v>
      </c>
      <c r="B660" s="9" t="s">
        <v>737</v>
      </c>
      <c r="C660" s="9" t="s">
        <v>12</v>
      </c>
      <c r="D660" s="9" t="s">
        <v>27</v>
      </c>
      <c r="E660" t="s">
        <v>992</v>
      </c>
      <c r="F660" s="11">
        <v>73490</v>
      </c>
      <c r="G660" s="10">
        <v>955.37</v>
      </c>
      <c r="H660" s="10">
        <v>74445.37</v>
      </c>
      <c r="I660" s="9" t="s">
        <v>21</v>
      </c>
      <c r="J660" s="9" t="s">
        <v>24</v>
      </c>
      <c r="K660" s="4">
        <v>1.2999999999999999E-2</v>
      </c>
      <c r="L660" t="str">
        <f>IF(pg_1[[#This Row],[Salary]]&gt;=90000, "Met minimum", "Not met minimum")</f>
        <v>Not met minimum</v>
      </c>
    </row>
    <row r="661" spans="1:12" x14ac:dyDescent="0.25">
      <c r="A661" s="8">
        <v>660</v>
      </c>
      <c r="B661" s="9" t="s">
        <v>738</v>
      </c>
      <c r="C661" s="9" t="s">
        <v>7</v>
      </c>
      <c r="D661" s="9" t="s">
        <v>37</v>
      </c>
      <c r="E661" t="s">
        <v>987</v>
      </c>
      <c r="F661" s="11">
        <v>52220</v>
      </c>
      <c r="G661" s="10">
        <v>1671.04</v>
      </c>
      <c r="H661" s="10">
        <v>53891.040000000001</v>
      </c>
      <c r="I661" s="9" t="s">
        <v>21</v>
      </c>
      <c r="J661" s="9" t="s">
        <v>28</v>
      </c>
      <c r="K661" s="4">
        <v>3.2000000000000001E-2</v>
      </c>
      <c r="L661" t="str">
        <f>IF(pg_1[[#This Row],[Salary]]&gt;=90000, "Met minimum", "Not met minimum")</f>
        <v>Not met minimum</v>
      </c>
    </row>
    <row r="662" spans="1:12" x14ac:dyDescent="0.25">
      <c r="A662" s="8">
        <v>661</v>
      </c>
      <c r="B662" s="9" t="s">
        <v>739</v>
      </c>
      <c r="C662" s="9" t="s">
        <v>12</v>
      </c>
      <c r="D662" s="9" t="s">
        <v>23</v>
      </c>
      <c r="E662" t="s">
        <v>986</v>
      </c>
      <c r="F662" s="11">
        <v>68900</v>
      </c>
      <c r="G662" s="10">
        <v>1929.2</v>
      </c>
      <c r="H662" s="10">
        <v>70829.2</v>
      </c>
      <c r="I662" s="9" t="s">
        <v>17</v>
      </c>
      <c r="J662" s="9" t="s">
        <v>28</v>
      </c>
      <c r="K662" s="4">
        <v>2.8000000000000001E-2</v>
      </c>
      <c r="L662" t="str">
        <f>IF(pg_1[[#This Row],[Salary]]&gt;=90000, "Met minimum", "Not met minimum")</f>
        <v>Not met minimum</v>
      </c>
    </row>
    <row r="663" spans="1:12" x14ac:dyDescent="0.25">
      <c r="A663" s="8">
        <v>662</v>
      </c>
      <c r="B663" s="9" t="s">
        <v>740</v>
      </c>
      <c r="C663" s="9" t="s">
        <v>12</v>
      </c>
      <c r="D663" s="9" t="s">
        <v>8</v>
      </c>
      <c r="E663" t="s">
        <v>985</v>
      </c>
      <c r="F663" s="11">
        <v>83750</v>
      </c>
      <c r="G663" s="10">
        <v>1758.75</v>
      </c>
      <c r="H663" s="10">
        <v>85508.75</v>
      </c>
      <c r="I663" s="9" t="s">
        <v>17</v>
      </c>
      <c r="J663" s="9" t="s">
        <v>28</v>
      </c>
      <c r="K663" s="4">
        <v>2.1000000000000001E-2</v>
      </c>
      <c r="L663" t="str">
        <f>IF(pg_1[[#This Row],[Salary]]&gt;=90000, "Met minimum", "Not met minimum")</f>
        <v>Not met minimum</v>
      </c>
    </row>
    <row r="664" spans="1:12" x14ac:dyDescent="0.25">
      <c r="A664" s="8">
        <v>663</v>
      </c>
      <c r="B664" s="9" t="s">
        <v>741</v>
      </c>
      <c r="C664" s="9" t="s">
        <v>7</v>
      </c>
      <c r="D664" s="9" t="s">
        <v>23</v>
      </c>
      <c r="E664" t="s">
        <v>991</v>
      </c>
      <c r="F664" s="11">
        <v>110970</v>
      </c>
      <c r="G664" s="10">
        <v>0</v>
      </c>
      <c r="H664" s="10">
        <v>110970</v>
      </c>
      <c r="I664" s="9" t="s">
        <v>21</v>
      </c>
      <c r="J664" s="9" t="s">
        <v>18</v>
      </c>
      <c r="K664" s="4">
        <v>0</v>
      </c>
      <c r="L664" t="str">
        <f>IF(pg_1[[#This Row],[Salary]]&gt;=90000, "Met minimum", "Not met minimum")</f>
        <v>Met minimum</v>
      </c>
    </row>
    <row r="665" spans="1:12" x14ac:dyDescent="0.25">
      <c r="A665" s="8">
        <v>664</v>
      </c>
      <c r="B665" s="9" t="s">
        <v>742</v>
      </c>
      <c r="C665" s="9" t="s">
        <v>12</v>
      </c>
      <c r="D665" s="9" t="s">
        <v>34</v>
      </c>
      <c r="E665" t="s">
        <v>989</v>
      </c>
      <c r="F665" s="11">
        <v>49520</v>
      </c>
      <c r="G665" s="10">
        <v>1188.48</v>
      </c>
      <c r="H665" s="10">
        <v>50708.480000000003</v>
      </c>
      <c r="I665" s="9" t="s">
        <v>17</v>
      </c>
      <c r="J665" s="9" t="s">
        <v>28</v>
      </c>
      <c r="K665" s="4">
        <v>2.4E-2</v>
      </c>
      <c r="L665" t="str">
        <f>IF(pg_1[[#This Row],[Salary]]&gt;=90000, "Met minimum", "Not met minimum")</f>
        <v>Not met minimum</v>
      </c>
    </row>
    <row r="666" spans="1:12" x14ac:dyDescent="0.25">
      <c r="A666" s="8">
        <v>665</v>
      </c>
      <c r="B666" s="9" t="s">
        <v>743</v>
      </c>
      <c r="C666" s="9" t="s">
        <v>12</v>
      </c>
      <c r="D666" s="9" t="s">
        <v>34</v>
      </c>
      <c r="E666" t="s">
        <v>985</v>
      </c>
      <c r="F666" s="11">
        <v>86560</v>
      </c>
      <c r="G666" s="10">
        <v>2077.44</v>
      </c>
      <c r="H666" s="10">
        <v>88637.440000000002</v>
      </c>
      <c r="I666" s="9" t="s">
        <v>21</v>
      </c>
      <c r="J666" s="9" t="s">
        <v>28</v>
      </c>
      <c r="K666" s="4">
        <v>2.4E-2</v>
      </c>
      <c r="L666" t="str">
        <f>IF(pg_1[[#This Row],[Salary]]&gt;=90000, "Met minimum", "Not met minimum")</f>
        <v>Not met minimum</v>
      </c>
    </row>
    <row r="667" spans="1:12" x14ac:dyDescent="0.25">
      <c r="A667" s="8">
        <v>666</v>
      </c>
      <c r="B667" s="9" t="s">
        <v>744</v>
      </c>
      <c r="C667" s="9" t="s">
        <v>12</v>
      </c>
      <c r="D667" s="9" t="s">
        <v>23</v>
      </c>
      <c r="E667" t="s">
        <v>990</v>
      </c>
      <c r="F667" s="11">
        <v>35830</v>
      </c>
      <c r="G667" s="10">
        <v>1003.24</v>
      </c>
      <c r="H667" s="10">
        <v>36833.24</v>
      </c>
      <c r="I667" s="9" t="s">
        <v>21</v>
      </c>
      <c r="J667" s="9" t="s">
        <v>28</v>
      </c>
      <c r="K667" s="4">
        <v>2.8000000000000001E-2</v>
      </c>
      <c r="L667" t="str">
        <f>IF(pg_1[[#This Row],[Salary]]&gt;=90000, "Met minimum", "Not met minimum")</f>
        <v>Not met minimum</v>
      </c>
    </row>
    <row r="668" spans="1:12" x14ac:dyDescent="0.25">
      <c r="A668" s="8">
        <v>667</v>
      </c>
      <c r="B668" s="9" t="s">
        <v>745</v>
      </c>
      <c r="C668" s="9" t="s">
        <v>12</v>
      </c>
      <c r="D668" s="9" t="s">
        <v>23</v>
      </c>
      <c r="E668" t="s">
        <v>987</v>
      </c>
      <c r="F668" s="11">
        <v>53910</v>
      </c>
      <c r="G668" s="10">
        <v>2641.59</v>
      </c>
      <c r="H668" s="10">
        <v>56551.59</v>
      </c>
      <c r="I668" s="9" t="s">
        <v>21</v>
      </c>
      <c r="J668" s="9" t="s">
        <v>14</v>
      </c>
      <c r="K668" s="4">
        <v>4.9000000000000002E-2</v>
      </c>
      <c r="L668" t="str">
        <f>IF(pg_1[[#This Row],[Salary]]&gt;=90000, "Met minimum", "Not met minimum")</f>
        <v>Not met minimum</v>
      </c>
    </row>
    <row r="669" spans="1:12" x14ac:dyDescent="0.25">
      <c r="A669" s="8">
        <v>668</v>
      </c>
      <c r="B669" s="9" t="s">
        <v>746</v>
      </c>
      <c r="C669" s="9" t="s">
        <v>12</v>
      </c>
      <c r="D669" s="9" t="s">
        <v>13</v>
      </c>
      <c r="E669" t="s">
        <v>988</v>
      </c>
      <c r="F669" s="11">
        <v>109870</v>
      </c>
      <c r="G669" s="10">
        <v>3845.4500000000003</v>
      </c>
      <c r="H669" s="10">
        <v>113715.45</v>
      </c>
      <c r="I669" s="9" t="s">
        <v>21</v>
      </c>
      <c r="J669" s="9" t="s">
        <v>28</v>
      </c>
      <c r="K669" s="4">
        <v>3.5000000000000003E-2</v>
      </c>
      <c r="L669" t="str">
        <f>IF(pg_1[[#This Row],[Salary]]&gt;=90000, "Met minimum", "Not met minimum")</f>
        <v>Met minimum</v>
      </c>
    </row>
    <row r="670" spans="1:12" x14ac:dyDescent="0.25">
      <c r="A670" s="8">
        <v>669</v>
      </c>
      <c r="B670" s="9" t="s">
        <v>747</v>
      </c>
      <c r="C670" s="9" t="s">
        <v>7</v>
      </c>
      <c r="D670" s="9" t="s">
        <v>13</v>
      </c>
      <c r="E670" t="s">
        <v>986</v>
      </c>
      <c r="F670" s="11">
        <v>61620</v>
      </c>
      <c r="G670" s="10">
        <v>2156.7000000000003</v>
      </c>
      <c r="H670" s="10">
        <v>63776.7</v>
      </c>
      <c r="I670" s="9" t="s">
        <v>17</v>
      </c>
      <c r="J670" s="9" t="s">
        <v>28</v>
      </c>
      <c r="K670" s="4">
        <v>3.5000000000000003E-2</v>
      </c>
      <c r="L670" t="str">
        <f>IF(pg_1[[#This Row],[Salary]]&gt;=90000, "Met minimum", "Not met minimum")</f>
        <v>Not met minimum</v>
      </c>
    </row>
    <row r="671" spans="1:12" x14ac:dyDescent="0.25">
      <c r="A671" s="8">
        <v>670</v>
      </c>
      <c r="B671" s="9" t="s">
        <v>748</v>
      </c>
      <c r="C671" s="9" t="s">
        <v>970</v>
      </c>
      <c r="D671" s="9" t="s">
        <v>27</v>
      </c>
      <c r="E671" t="s">
        <v>986</v>
      </c>
      <c r="F671" s="11">
        <v>67960</v>
      </c>
      <c r="G671" s="10">
        <v>1834.92</v>
      </c>
      <c r="H671" s="10">
        <v>69794.92</v>
      </c>
      <c r="I671" s="9" t="s">
        <v>17</v>
      </c>
      <c r="J671" s="9" t="s">
        <v>28</v>
      </c>
      <c r="K671" s="4">
        <v>2.7E-2</v>
      </c>
      <c r="L671" t="str">
        <f>IF(pg_1[[#This Row],[Salary]]&gt;=90000, "Met minimum", "Not met minimum")</f>
        <v>Not met minimum</v>
      </c>
    </row>
    <row r="672" spans="1:12" x14ac:dyDescent="0.25">
      <c r="A672" s="8">
        <v>671</v>
      </c>
      <c r="B672" s="9" t="s">
        <v>749</v>
      </c>
      <c r="C672" s="9" t="s">
        <v>12</v>
      </c>
      <c r="D672" s="9" t="s">
        <v>42</v>
      </c>
      <c r="E672" t="s">
        <v>987</v>
      </c>
      <c r="F672" s="11">
        <v>57000</v>
      </c>
      <c r="G672" s="10">
        <v>285</v>
      </c>
      <c r="H672" s="10">
        <v>57285</v>
      </c>
      <c r="I672" s="9" t="s">
        <v>17</v>
      </c>
      <c r="J672" s="9" t="s">
        <v>51</v>
      </c>
      <c r="K672" s="4">
        <v>5.0000000000000001E-3</v>
      </c>
      <c r="L672" t="str">
        <f>IF(pg_1[[#This Row],[Salary]]&gt;=90000, "Met minimum", "Not met minimum")</f>
        <v>Not met minimum</v>
      </c>
    </row>
    <row r="673" spans="1:12" x14ac:dyDescent="0.25">
      <c r="A673" s="8">
        <v>672</v>
      </c>
      <c r="B673" s="9" t="s">
        <v>750</v>
      </c>
      <c r="C673" s="9" t="s">
        <v>7</v>
      </c>
      <c r="D673" s="9" t="s">
        <v>8</v>
      </c>
      <c r="E673" t="s">
        <v>992</v>
      </c>
      <c r="F673" s="11">
        <v>70610</v>
      </c>
      <c r="G673" s="10">
        <v>1482.8100000000002</v>
      </c>
      <c r="H673" s="10">
        <v>72092.81</v>
      </c>
      <c r="I673" s="9" t="s">
        <v>9</v>
      </c>
      <c r="J673" s="9" t="s">
        <v>28</v>
      </c>
      <c r="K673" s="4">
        <v>2.1000000000000001E-2</v>
      </c>
      <c r="L673" t="str">
        <f>IF(pg_1[[#This Row],[Salary]]&gt;=90000, "Met minimum", "Not met minimum")</f>
        <v>Not met minimum</v>
      </c>
    </row>
    <row r="674" spans="1:12" x14ac:dyDescent="0.25">
      <c r="A674" s="8">
        <v>673</v>
      </c>
      <c r="B674" s="9" t="s">
        <v>751</v>
      </c>
      <c r="C674" s="9" t="s">
        <v>12</v>
      </c>
      <c r="D674" s="9" t="s">
        <v>42</v>
      </c>
      <c r="E674" t="s">
        <v>987</v>
      </c>
      <c r="F674" s="11">
        <v>51860</v>
      </c>
      <c r="G674" s="10">
        <v>3059.74</v>
      </c>
      <c r="H674" s="10">
        <v>54919.74</v>
      </c>
      <c r="I674" s="9" t="s">
        <v>17</v>
      </c>
      <c r="J674" s="9" t="s">
        <v>14</v>
      </c>
      <c r="K674" s="4">
        <v>5.8999999999999997E-2</v>
      </c>
      <c r="L674" t="str">
        <f>IF(pg_1[[#This Row],[Salary]]&gt;=90000, "Met minimum", "Not met minimum")</f>
        <v>Not met minimum</v>
      </c>
    </row>
    <row r="675" spans="1:12" x14ac:dyDescent="0.25">
      <c r="A675" s="8">
        <v>674</v>
      </c>
      <c r="B675" s="9" t="s">
        <v>752</v>
      </c>
      <c r="C675" s="9" t="s">
        <v>12</v>
      </c>
      <c r="D675" s="9" t="s">
        <v>13</v>
      </c>
      <c r="E675" t="s">
        <v>986</v>
      </c>
      <c r="F675" s="11">
        <v>60130</v>
      </c>
      <c r="G675" s="10">
        <v>2104.5500000000002</v>
      </c>
      <c r="H675" s="10">
        <v>62234.55</v>
      </c>
      <c r="I675" s="9" t="s">
        <v>17</v>
      </c>
      <c r="J675" s="9" t="s">
        <v>28</v>
      </c>
      <c r="K675" s="4">
        <v>3.5000000000000003E-2</v>
      </c>
      <c r="L675" t="str">
        <f>IF(pg_1[[#This Row],[Salary]]&gt;=90000, "Met minimum", "Not met minimum")</f>
        <v>Not met minimum</v>
      </c>
    </row>
    <row r="676" spans="1:12" x14ac:dyDescent="0.25">
      <c r="A676" s="8">
        <v>675</v>
      </c>
      <c r="B676" s="9" t="s">
        <v>753</v>
      </c>
      <c r="C676" s="9" t="s">
        <v>7</v>
      </c>
      <c r="D676" s="9" t="s">
        <v>50</v>
      </c>
      <c r="E676" t="s">
        <v>992</v>
      </c>
      <c r="F676" s="11">
        <v>72040</v>
      </c>
      <c r="G676" s="10">
        <v>1440.8</v>
      </c>
      <c r="H676" s="10">
        <v>73480.800000000003</v>
      </c>
      <c r="I676" s="9" t="s">
        <v>21</v>
      </c>
      <c r="J676" s="9" t="s">
        <v>24</v>
      </c>
      <c r="K676" s="4">
        <v>0.02</v>
      </c>
      <c r="L676" t="str">
        <f>IF(pg_1[[#This Row],[Salary]]&gt;=90000, "Met minimum", "Not met minimum")</f>
        <v>Not met minimum</v>
      </c>
    </row>
    <row r="677" spans="1:12" x14ac:dyDescent="0.25">
      <c r="A677" s="8">
        <v>676</v>
      </c>
      <c r="B677" s="9" t="s">
        <v>754</v>
      </c>
      <c r="C677" s="9" t="s">
        <v>12</v>
      </c>
      <c r="D677" s="9" t="s">
        <v>37</v>
      </c>
      <c r="E677" t="s">
        <v>988</v>
      </c>
      <c r="F677" s="11">
        <v>108450</v>
      </c>
      <c r="G677" s="10">
        <v>4446.45</v>
      </c>
      <c r="H677" s="10">
        <v>112896.45</v>
      </c>
      <c r="I677" s="9" t="s">
        <v>9</v>
      </c>
      <c r="J677" s="9" t="s">
        <v>14</v>
      </c>
      <c r="K677" s="4">
        <v>4.1000000000000002E-2</v>
      </c>
      <c r="L677" t="str">
        <f>IF(pg_1[[#This Row],[Salary]]&gt;=90000, "Met minimum", "Not met minimum")</f>
        <v>Met minimum</v>
      </c>
    </row>
    <row r="678" spans="1:12" x14ac:dyDescent="0.25">
      <c r="A678" s="8">
        <v>677</v>
      </c>
      <c r="B678" s="9" t="s">
        <v>755</v>
      </c>
      <c r="C678" s="9" t="s">
        <v>7</v>
      </c>
      <c r="D678" s="9" t="s">
        <v>67</v>
      </c>
      <c r="E678" t="s">
        <v>987</v>
      </c>
      <c r="F678" s="11">
        <v>58260</v>
      </c>
      <c r="G678" s="10">
        <v>2039.1000000000001</v>
      </c>
      <c r="H678" s="10">
        <v>60299.1</v>
      </c>
      <c r="I678" s="9" t="s">
        <v>17</v>
      </c>
      <c r="J678" s="9" t="s">
        <v>28</v>
      </c>
      <c r="K678" s="4">
        <v>3.5000000000000003E-2</v>
      </c>
      <c r="L678" t="str">
        <f>IF(pg_1[[#This Row],[Salary]]&gt;=90000, "Met minimum", "Not met minimum")</f>
        <v>Not met minimum</v>
      </c>
    </row>
    <row r="679" spans="1:12" x14ac:dyDescent="0.25">
      <c r="A679" s="8">
        <v>678</v>
      </c>
      <c r="B679" s="9" t="s">
        <v>756</v>
      </c>
      <c r="C679" s="9" t="s">
        <v>970</v>
      </c>
      <c r="D679" s="9" t="s">
        <v>50</v>
      </c>
      <c r="E679" t="s">
        <v>992</v>
      </c>
      <c r="F679" s="11">
        <v>70020</v>
      </c>
      <c r="G679" s="10">
        <v>2310.6600000000003</v>
      </c>
      <c r="H679" s="10">
        <v>72330.66</v>
      </c>
      <c r="I679" s="9" t="s">
        <v>17</v>
      </c>
      <c r="J679" s="9" t="s">
        <v>28</v>
      </c>
      <c r="K679" s="4">
        <v>3.3000000000000002E-2</v>
      </c>
      <c r="L679" t="str">
        <f>IF(pg_1[[#This Row],[Salary]]&gt;=90000, "Met minimum", "Not met minimum")</f>
        <v>Not met minimum</v>
      </c>
    </row>
    <row r="680" spans="1:12" x14ac:dyDescent="0.25">
      <c r="A680" s="8">
        <v>679</v>
      </c>
      <c r="B680" s="9" t="s">
        <v>758</v>
      </c>
      <c r="C680" s="9" t="s">
        <v>12</v>
      </c>
      <c r="D680" s="9" t="s">
        <v>27</v>
      </c>
      <c r="E680" t="s">
        <v>990</v>
      </c>
      <c r="F680" s="11">
        <v>35670</v>
      </c>
      <c r="G680" s="10">
        <v>963.09</v>
      </c>
      <c r="H680" s="10">
        <v>36633.089999999997</v>
      </c>
      <c r="I680" s="9" t="s">
        <v>21</v>
      </c>
      <c r="J680" s="9" t="s">
        <v>28</v>
      </c>
      <c r="K680" s="4">
        <v>2.7E-2</v>
      </c>
      <c r="L680" t="str">
        <f>IF(pg_1[[#This Row],[Salary]]&gt;=90000, "Met minimum", "Not met minimum")</f>
        <v>Not met minimum</v>
      </c>
    </row>
    <row r="681" spans="1:12" x14ac:dyDescent="0.25">
      <c r="A681" s="8">
        <v>680</v>
      </c>
      <c r="B681" s="9" t="s">
        <v>760</v>
      </c>
      <c r="C681" s="9" t="s">
        <v>7</v>
      </c>
      <c r="D681" s="9" t="s">
        <v>53</v>
      </c>
      <c r="E681" t="s">
        <v>986</v>
      </c>
      <c r="F681" s="11">
        <v>67630</v>
      </c>
      <c r="G681" s="10">
        <v>1352.6000000000001</v>
      </c>
      <c r="H681" s="10">
        <v>68982.600000000006</v>
      </c>
      <c r="I681" s="9" t="s">
        <v>17</v>
      </c>
      <c r="J681" s="9" t="s">
        <v>28</v>
      </c>
      <c r="K681" s="4">
        <v>0.02</v>
      </c>
      <c r="L681" t="str">
        <f>IF(pg_1[[#This Row],[Salary]]&gt;=90000, "Met minimum", "Not met minimum")</f>
        <v>Not met minimum</v>
      </c>
    </row>
    <row r="682" spans="1:12" x14ac:dyDescent="0.25">
      <c r="A682" s="8">
        <v>681</v>
      </c>
      <c r="B682" s="9" t="s">
        <v>761</v>
      </c>
      <c r="C682" s="9" t="s">
        <v>12</v>
      </c>
      <c r="D682" s="9" t="s">
        <v>27</v>
      </c>
      <c r="E682" t="s">
        <v>985</v>
      </c>
      <c r="F682" s="11">
        <v>82300</v>
      </c>
      <c r="G682" s="10">
        <v>0</v>
      </c>
      <c r="H682" s="10">
        <v>82300</v>
      </c>
      <c r="I682" s="9" t="s">
        <v>21</v>
      </c>
      <c r="J682" s="9" t="s">
        <v>18</v>
      </c>
      <c r="K682" s="4">
        <v>0</v>
      </c>
      <c r="L682" t="str">
        <f>IF(pg_1[[#This Row],[Salary]]&gt;=90000, "Met minimum", "Not met minimum")</f>
        <v>Not met minimum</v>
      </c>
    </row>
    <row r="683" spans="1:12" x14ac:dyDescent="0.25">
      <c r="A683" s="8">
        <v>682</v>
      </c>
      <c r="B683" s="9" t="s">
        <v>762</v>
      </c>
      <c r="C683" s="9" t="s">
        <v>12</v>
      </c>
      <c r="D683" s="9" t="s">
        <v>34</v>
      </c>
      <c r="E683" t="s">
        <v>991</v>
      </c>
      <c r="F683" s="11">
        <v>114870</v>
      </c>
      <c r="G683" s="10">
        <v>0</v>
      </c>
      <c r="H683" s="10">
        <v>114870</v>
      </c>
      <c r="I683" s="9" t="s">
        <v>9</v>
      </c>
      <c r="J683" s="9" t="s">
        <v>18</v>
      </c>
      <c r="K683" s="4">
        <v>0</v>
      </c>
      <c r="L683" t="str">
        <f>IF(pg_1[[#This Row],[Salary]]&gt;=90000, "Met minimum", "Not met minimum")</f>
        <v>Met minimum</v>
      </c>
    </row>
    <row r="684" spans="1:12" x14ac:dyDescent="0.25">
      <c r="A684" s="8">
        <v>683</v>
      </c>
      <c r="B684" s="9" t="s">
        <v>763</v>
      </c>
      <c r="C684" s="9" t="s">
        <v>7</v>
      </c>
      <c r="D684" s="9" t="s">
        <v>8</v>
      </c>
      <c r="E684" t="s">
        <v>992</v>
      </c>
      <c r="F684" s="11">
        <v>71030</v>
      </c>
      <c r="G684" s="10">
        <v>1491.63</v>
      </c>
      <c r="H684" s="10">
        <v>72521.63</v>
      </c>
      <c r="I684" s="9" t="s">
        <v>9</v>
      </c>
      <c r="J684" s="9" t="s">
        <v>28</v>
      </c>
      <c r="K684" s="4">
        <v>2.1000000000000001E-2</v>
      </c>
      <c r="L684" t="str">
        <f>IF(pg_1[[#This Row],[Salary]]&gt;=90000, "Met minimum", "Not met minimum")</f>
        <v>Not met minimum</v>
      </c>
    </row>
    <row r="685" spans="1:12" x14ac:dyDescent="0.25">
      <c r="A685" s="8">
        <v>684</v>
      </c>
      <c r="B685" s="9" t="s">
        <v>764</v>
      </c>
      <c r="C685" s="9" t="s">
        <v>12</v>
      </c>
      <c r="D685" s="9" t="s">
        <v>23</v>
      </c>
      <c r="E685" t="s">
        <v>985</v>
      </c>
      <c r="F685" s="11">
        <v>85670</v>
      </c>
      <c r="G685" s="10">
        <v>2398.7600000000002</v>
      </c>
      <c r="H685" s="10">
        <v>88068.76</v>
      </c>
      <c r="I685" s="9" t="s">
        <v>21</v>
      </c>
      <c r="J685" s="9" t="s">
        <v>28</v>
      </c>
      <c r="K685" s="4">
        <v>2.8000000000000001E-2</v>
      </c>
      <c r="L685" t="str">
        <f>IF(pg_1[[#This Row],[Salary]]&gt;=90000, "Met minimum", "Not met minimum")</f>
        <v>Not met minimum</v>
      </c>
    </row>
    <row r="686" spans="1:12" x14ac:dyDescent="0.25">
      <c r="A686" s="8">
        <v>685</v>
      </c>
      <c r="B686" s="9" t="s">
        <v>766</v>
      </c>
      <c r="C686" s="9" t="s">
        <v>7</v>
      </c>
      <c r="D686" s="9" t="s">
        <v>34</v>
      </c>
      <c r="E686" t="s">
        <v>986</v>
      </c>
      <c r="F686" s="11">
        <v>61700</v>
      </c>
      <c r="G686" s="10">
        <v>1480.8</v>
      </c>
      <c r="H686" s="10">
        <v>63180.800000000003</v>
      </c>
      <c r="I686" s="9" t="s">
        <v>21</v>
      </c>
      <c r="J686" s="9" t="s">
        <v>28</v>
      </c>
      <c r="K686" s="4">
        <v>2.4E-2</v>
      </c>
      <c r="L686" t="str">
        <f>IF(pg_1[[#This Row],[Salary]]&gt;=90000, "Met minimum", "Not met minimum")</f>
        <v>Not met minimum</v>
      </c>
    </row>
    <row r="687" spans="1:12" x14ac:dyDescent="0.25">
      <c r="A687" s="8">
        <v>686</v>
      </c>
      <c r="B687" s="9" t="s">
        <v>767</v>
      </c>
      <c r="C687" s="9" t="s">
        <v>7</v>
      </c>
      <c r="D687" s="9" t="s">
        <v>20</v>
      </c>
      <c r="E687" t="s">
        <v>986</v>
      </c>
      <c r="F687" s="11">
        <v>66140</v>
      </c>
      <c r="G687" s="10">
        <v>3571.56</v>
      </c>
      <c r="H687" s="10">
        <v>69711.56</v>
      </c>
      <c r="I687" s="9" t="s">
        <v>17</v>
      </c>
      <c r="J687" s="9" t="s">
        <v>14</v>
      </c>
      <c r="K687" s="4">
        <v>5.3999999999999999E-2</v>
      </c>
      <c r="L687" t="str">
        <f>IF(pg_1[[#This Row],[Salary]]&gt;=90000, "Met minimum", "Not met minimum")</f>
        <v>Not met minimum</v>
      </c>
    </row>
    <row r="688" spans="1:12" x14ac:dyDescent="0.25">
      <c r="A688" s="8">
        <v>687</v>
      </c>
      <c r="B688" s="9" t="s">
        <v>768</v>
      </c>
      <c r="C688" s="9" t="s">
        <v>7</v>
      </c>
      <c r="D688" s="9" t="s">
        <v>67</v>
      </c>
      <c r="E688" t="s">
        <v>987</v>
      </c>
      <c r="F688" s="11">
        <v>51860</v>
      </c>
      <c r="G688" s="10">
        <v>3007.88</v>
      </c>
      <c r="H688" s="10">
        <v>54867.88</v>
      </c>
      <c r="I688" s="9" t="s">
        <v>21</v>
      </c>
      <c r="J688" s="9" t="s">
        <v>14</v>
      </c>
      <c r="K688" s="4">
        <v>5.8000000000000003E-2</v>
      </c>
      <c r="L688" t="str">
        <f>IF(pg_1[[#This Row],[Salary]]&gt;=90000, "Met minimum", "Not met minimum")</f>
        <v>Not met minimum</v>
      </c>
    </row>
    <row r="689" spans="1:12" x14ac:dyDescent="0.25">
      <c r="A689" s="8">
        <v>688</v>
      </c>
      <c r="B689" s="9" t="s">
        <v>769</v>
      </c>
      <c r="C689" s="9" t="s">
        <v>12</v>
      </c>
      <c r="D689" s="9" t="s">
        <v>20</v>
      </c>
      <c r="E689" t="s">
        <v>986</v>
      </c>
      <c r="F689" s="11">
        <v>61210</v>
      </c>
      <c r="G689" s="10">
        <v>0</v>
      </c>
      <c r="H689" s="10">
        <v>61210</v>
      </c>
      <c r="I689" s="9" t="s">
        <v>21</v>
      </c>
      <c r="J689" s="9" t="s">
        <v>18</v>
      </c>
      <c r="K689" s="4">
        <v>0</v>
      </c>
      <c r="L689" t="str">
        <f>IF(pg_1[[#This Row],[Salary]]&gt;=90000, "Met minimum", "Not met minimum")</f>
        <v>Not met minimum</v>
      </c>
    </row>
    <row r="690" spans="1:12" x14ac:dyDescent="0.25">
      <c r="A690" s="8">
        <v>689</v>
      </c>
      <c r="B690" s="9" t="s">
        <v>770</v>
      </c>
      <c r="C690" s="9" t="s">
        <v>12</v>
      </c>
      <c r="D690" s="9" t="s">
        <v>34</v>
      </c>
      <c r="E690" t="s">
        <v>986</v>
      </c>
      <c r="F690" s="11">
        <v>68980</v>
      </c>
      <c r="G690" s="10">
        <v>1655.52</v>
      </c>
      <c r="H690" s="10">
        <v>70635.520000000004</v>
      </c>
      <c r="I690" s="9" t="s">
        <v>21</v>
      </c>
      <c r="J690" s="9" t="s">
        <v>28</v>
      </c>
      <c r="K690" s="4">
        <v>2.4E-2</v>
      </c>
      <c r="L690" t="str">
        <f>IF(pg_1[[#This Row],[Salary]]&gt;=90000, "Met minimum", "Not met minimum")</f>
        <v>Not met minimum</v>
      </c>
    </row>
    <row r="691" spans="1:12" x14ac:dyDescent="0.25">
      <c r="A691" s="8">
        <v>690</v>
      </c>
      <c r="B691" s="9" t="s">
        <v>771</v>
      </c>
      <c r="C691" s="9" t="s">
        <v>12</v>
      </c>
      <c r="D691" s="9" t="s">
        <v>53</v>
      </c>
      <c r="E691" t="s">
        <v>993</v>
      </c>
      <c r="F691" s="11">
        <v>29610</v>
      </c>
      <c r="G691" s="10">
        <v>592.20000000000005</v>
      </c>
      <c r="H691" s="10">
        <v>30202.2</v>
      </c>
      <c r="I691" s="9" t="s">
        <v>17</v>
      </c>
      <c r="J691" s="9" t="s">
        <v>28</v>
      </c>
      <c r="K691" s="4">
        <v>0.02</v>
      </c>
      <c r="L691" t="str">
        <f>IF(pg_1[[#This Row],[Salary]]&gt;=90000, "Met minimum", "Not met minimum")</f>
        <v>Not met minimum</v>
      </c>
    </row>
    <row r="692" spans="1:12" x14ac:dyDescent="0.25">
      <c r="A692" s="8">
        <v>691</v>
      </c>
      <c r="B692" s="9" t="s">
        <v>772</v>
      </c>
      <c r="C692" s="9" t="s">
        <v>12</v>
      </c>
      <c r="D692" s="9" t="s">
        <v>13</v>
      </c>
      <c r="E692" t="s">
        <v>991</v>
      </c>
      <c r="F692" s="11">
        <v>114430</v>
      </c>
      <c r="G692" s="10">
        <v>4920.49</v>
      </c>
      <c r="H692" s="10">
        <v>119350.49</v>
      </c>
      <c r="I692" s="9" t="s">
        <v>9</v>
      </c>
      <c r="J692" s="9" t="s">
        <v>14</v>
      </c>
      <c r="K692" s="4">
        <v>4.2999999999999997E-2</v>
      </c>
      <c r="L692" t="str">
        <f>IF(pg_1[[#This Row],[Salary]]&gt;=90000, "Met minimum", "Not met minimum")</f>
        <v>Met minimum</v>
      </c>
    </row>
    <row r="693" spans="1:12" x14ac:dyDescent="0.25">
      <c r="A693" s="8">
        <v>692</v>
      </c>
      <c r="B693" s="9" t="s">
        <v>773</v>
      </c>
      <c r="C693" s="9" t="s">
        <v>7</v>
      </c>
      <c r="D693" s="9" t="s">
        <v>37</v>
      </c>
      <c r="E693" t="s">
        <v>987</v>
      </c>
      <c r="F693" s="11">
        <v>53760</v>
      </c>
      <c r="G693" s="10">
        <v>1720.32</v>
      </c>
      <c r="H693" s="10">
        <v>55480.32</v>
      </c>
      <c r="I693" s="9" t="s">
        <v>17</v>
      </c>
      <c r="J693" s="9" t="s">
        <v>28</v>
      </c>
      <c r="K693" s="4">
        <v>3.2000000000000001E-2</v>
      </c>
      <c r="L693" t="str">
        <f>IF(pg_1[[#This Row],[Salary]]&gt;=90000, "Met minimum", "Not met minimum")</f>
        <v>Not met minimum</v>
      </c>
    </row>
    <row r="694" spans="1:12" x14ac:dyDescent="0.25">
      <c r="A694" s="8">
        <v>693</v>
      </c>
      <c r="B694" s="9" t="s">
        <v>774</v>
      </c>
      <c r="C694" s="9" t="s">
        <v>7</v>
      </c>
      <c r="D694" s="9" t="s">
        <v>8</v>
      </c>
      <c r="E694" t="s">
        <v>994</v>
      </c>
      <c r="F694" s="11">
        <v>91310</v>
      </c>
      <c r="G694" s="10">
        <v>1917.5100000000002</v>
      </c>
      <c r="H694" s="10">
        <v>93227.51</v>
      </c>
      <c r="I694" s="9" t="s">
        <v>17</v>
      </c>
      <c r="J694" s="9" t="s">
        <v>28</v>
      </c>
      <c r="K694" s="4">
        <v>2.1000000000000001E-2</v>
      </c>
      <c r="L694" t="str">
        <f>IF(pg_1[[#This Row],[Salary]]&gt;=90000, "Met minimum", "Not met minimum")</f>
        <v>Met minimum</v>
      </c>
    </row>
    <row r="695" spans="1:12" x14ac:dyDescent="0.25">
      <c r="A695" s="8">
        <v>694</v>
      </c>
      <c r="B695" s="9" t="s">
        <v>775</v>
      </c>
      <c r="C695" s="9" t="s">
        <v>7</v>
      </c>
      <c r="D695" s="9" t="s">
        <v>31</v>
      </c>
      <c r="E695" t="s">
        <v>991</v>
      </c>
      <c r="F695" s="11">
        <v>117840</v>
      </c>
      <c r="G695" s="10">
        <v>2710.32</v>
      </c>
      <c r="H695" s="10">
        <v>120550.32</v>
      </c>
      <c r="I695" s="9" t="s">
        <v>21</v>
      </c>
      <c r="J695" s="9" t="s">
        <v>28</v>
      </c>
      <c r="K695" s="4">
        <v>2.3E-2</v>
      </c>
      <c r="L695" t="str">
        <f>IF(pg_1[[#This Row],[Salary]]&gt;=90000, "Met minimum", "Not met minimum")</f>
        <v>Met minimum</v>
      </c>
    </row>
    <row r="696" spans="1:12" x14ac:dyDescent="0.25">
      <c r="A696" s="8">
        <v>695</v>
      </c>
      <c r="B696" s="9" t="s">
        <v>776</v>
      </c>
      <c r="C696" s="9" t="s">
        <v>12</v>
      </c>
      <c r="D696" s="9" t="s">
        <v>37</v>
      </c>
      <c r="E696" t="s">
        <v>990</v>
      </c>
      <c r="F696" s="11">
        <v>31830</v>
      </c>
      <c r="G696" s="10">
        <v>1018.5600000000001</v>
      </c>
      <c r="H696" s="10">
        <v>32848.559999999998</v>
      </c>
      <c r="I696" s="9" t="s">
        <v>9</v>
      </c>
      <c r="J696" s="9" t="s">
        <v>28</v>
      </c>
      <c r="K696" s="4">
        <v>3.2000000000000001E-2</v>
      </c>
      <c r="L696" t="str">
        <f>IF(pg_1[[#This Row],[Salary]]&gt;=90000, "Met minimum", "Not met minimum")</f>
        <v>Not met minimum</v>
      </c>
    </row>
    <row r="697" spans="1:12" x14ac:dyDescent="0.25">
      <c r="A697" s="8">
        <v>696</v>
      </c>
      <c r="B697" s="9" t="s">
        <v>777</v>
      </c>
      <c r="C697" s="9" t="s">
        <v>7</v>
      </c>
      <c r="D697" s="9" t="s">
        <v>20</v>
      </c>
      <c r="E697" t="s">
        <v>990</v>
      </c>
      <c r="F697" s="11">
        <v>32980</v>
      </c>
      <c r="G697" s="10">
        <v>0</v>
      </c>
      <c r="H697" s="10">
        <v>32980</v>
      </c>
      <c r="I697" s="9" t="s">
        <v>9</v>
      </c>
      <c r="J697" s="9" t="s">
        <v>18</v>
      </c>
      <c r="K697" s="4">
        <v>0</v>
      </c>
      <c r="L697" t="str">
        <f>IF(pg_1[[#This Row],[Salary]]&gt;=90000, "Met minimum", "Not met minimum")</f>
        <v>Not met minimum</v>
      </c>
    </row>
    <row r="698" spans="1:12" x14ac:dyDescent="0.25">
      <c r="A698" s="8">
        <v>697</v>
      </c>
      <c r="B698" s="9" t="s">
        <v>778</v>
      </c>
      <c r="C698" s="9" t="s">
        <v>7</v>
      </c>
      <c r="D698" s="9" t="s">
        <v>13</v>
      </c>
      <c r="E698" t="s">
        <v>989</v>
      </c>
      <c r="F698" s="11">
        <v>47360</v>
      </c>
      <c r="G698" s="10">
        <v>520.95999999999992</v>
      </c>
      <c r="H698" s="10">
        <v>47880.959999999999</v>
      </c>
      <c r="I698" s="9" t="s">
        <v>17</v>
      </c>
      <c r="J698" s="9" t="s">
        <v>24</v>
      </c>
      <c r="K698" s="4">
        <v>1.0999999999999999E-2</v>
      </c>
      <c r="L698" t="str">
        <f>IF(pg_1[[#This Row],[Salary]]&gt;=90000, "Met minimum", "Not met minimum")</f>
        <v>Not met minimum</v>
      </c>
    </row>
    <row r="699" spans="1:12" x14ac:dyDescent="0.25">
      <c r="A699" s="8">
        <v>698</v>
      </c>
      <c r="B699" s="9" t="s">
        <v>779</v>
      </c>
      <c r="C699" s="9" t="s">
        <v>12</v>
      </c>
      <c r="D699" s="9" t="s">
        <v>13</v>
      </c>
      <c r="E699" t="s">
        <v>985</v>
      </c>
      <c r="F699" s="11">
        <v>86740</v>
      </c>
      <c r="G699" s="10">
        <v>5291.14</v>
      </c>
      <c r="H699" s="10">
        <v>92031.14</v>
      </c>
      <c r="I699" s="9" t="s">
        <v>9</v>
      </c>
      <c r="J699" s="9" t="s">
        <v>10</v>
      </c>
      <c r="K699" s="4">
        <v>6.0999999999999999E-2</v>
      </c>
      <c r="L699" t="str">
        <f>IF(pg_1[[#This Row],[Salary]]&gt;=90000, "Met minimum", "Not met minimum")</f>
        <v>Not met minimum</v>
      </c>
    </row>
    <row r="700" spans="1:12" x14ac:dyDescent="0.25">
      <c r="A700" s="8">
        <v>699</v>
      </c>
      <c r="B700" s="9" t="s">
        <v>780</v>
      </c>
      <c r="C700" s="9" t="s">
        <v>12</v>
      </c>
      <c r="D700" s="9" t="s">
        <v>23</v>
      </c>
      <c r="E700" t="s">
        <v>985</v>
      </c>
      <c r="F700" s="11">
        <v>87400</v>
      </c>
      <c r="G700" s="10">
        <v>2447.2000000000003</v>
      </c>
      <c r="H700" s="10">
        <v>89847.2</v>
      </c>
      <c r="I700" s="9" t="s">
        <v>21</v>
      </c>
      <c r="J700" s="9" t="s">
        <v>28</v>
      </c>
      <c r="K700" s="4">
        <v>2.8000000000000001E-2</v>
      </c>
      <c r="L700" t="str">
        <f>IF(pg_1[[#This Row],[Salary]]&gt;=90000, "Met minimum", "Not met minimum")</f>
        <v>Not met minimum</v>
      </c>
    </row>
    <row r="701" spans="1:12" x14ac:dyDescent="0.25">
      <c r="A701" s="8">
        <v>700</v>
      </c>
      <c r="B701" s="9" t="s">
        <v>781</v>
      </c>
      <c r="C701" s="9" t="s">
        <v>12</v>
      </c>
      <c r="D701" s="9" t="s">
        <v>34</v>
      </c>
      <c r="E701" t="s">
        <v>992</v>
      </c>
      <c r="F701" s="11">
        <v>75090</v>
      </c>
      <c r="G701" s="10">
        <v>1802.16</v>
      </c>
      <c r="H701" s="10">
        <v>76892.160000000003</v>
      </c>
      <c r="I701" s="9" t="s">
        <v>9</v>
      </c>
      <c r="J701" s="9" t="s">
        <v>28</v>
      </c>
      <c r="K701" s="4">
        <v>2.4E-2</v>
      </c>
      <c r="L701" t="str">
        <f>IF(pg_1[[#This Row],[Salary]]&gt;=90000, "Met minimum", "Not met minimum")</f>
        <v>Not met minimum</v>
      </c>
    </row>
    <row r="702" spans="1:12" x14ac:dyDescent="0.25">
      <c r="A702" s="8">
        <v>701</v>
      </c>
      <c r="B702" s="9" t="s">
        <v>782</v>
      </c>
      <c r="C702" s="9" t="s">
        <v>7</v>
      </c>
      <c r="D702" s="9" t="s">
        <v>53</v>
      </c>
      <c r="E702" t="s">
        <v>992</v>
      </c>
      <c r="F702" s="11">
        <v>78020</v>
      </c>
      <c r="G702" s="10">
        <v>1560.4</v>
      </c>
      <c r="H702" s="10">
        <v>79580.399999999994</v>
      </c>
      <c r="I702" s="9" t="s">
        <v>21</v>
      </c>
      <c r="J702" s="9" t="s">
        <v>28</v>
      </c>
      <c r="K702" s="4">
        <v>0.02</v>
      </c>
      <c r="L702" t="str">
        <f>IF(pg_1[[#This Row],[Salary]]&gt;=90000, "Met minimum", "Not met minimum")</f>
        <v>Not met minimum</v>
      </c>
    </row>
    <row r="703" spans="1:12" x14ac:dyDescent="0.25">
      <c r="A703" s="8">
        <v>702</v>
      </c>
      <c r="B703" s="9" t="s">
        <v>783</v>
      </c>
      <c r="C703" s="9" t="s">
        <v>12</v>
      </c>
      <c r="D703" s="9" t="s">
        <v>50</v>
      </c>
      <c r="E703" t="s">
        <v>994</v>
      </c>
      <c r="F703" s="11">
        <v>92340</v>
      </c>
      <c r="G703" s="10">
        <v>4986.3599999999997</v>
      </c>
      <c r="H703" s="10">
        <v>97326.36</v>
      </c>
      <c r="I703" s="9" t="s">
        <v>21</v>
      </c>
      <c r="J703" s="9" t="s">
        <v>14</v>
      </c>
      <c r="K703" s="4">
        <v>5.3999999999999999E-2</v>
      </c>
      <c r="L703" t="str">
        <f>IF(pg_1[[#This Row],[Salary]]&gt;=90000, "Met minimum", "Not met minimum")</f>
        <v>Met minimum</v>
      </c>
    </row>
    <row r="704" spans="1:12" x14ac:dyDescent="0.25">
      <c r="A704" s="8">
        <v>703</v>
      </c>
      <c r="B704" s="9" t="s">
        <v>785</v>
      </c>
      <c r="C704" s="9" t="s">
        <v>12</v>
      </c>
      <c r="D704" s="9" t="s">
        <v>34</v>
      </c>
      <c r="E704" t="s">
        <v>987</v>
      </c>
      <c r="F704" s="11">
        <v>58830</v>
      </c>
      <c r="G704" s="10">
        <v>1058.9399999999998</v>
      </c>
      <c r="H704" s="10">
        <v>59888.94</v>
      </c>
      <c r="I704" s="9" t="s">
        <v>17</v>
      </c>
      <c r="J704" s="9" t="s">
        <v>24</v>
      </c>
      <c r="K704" s="4">
        <v>1.7999999999999999E-2</v>
      </c>
      <c r="L704" t="str">
        <f>IF(pg_1[[#This Row],[Salary]]&gt;=90000, "Met minimum", "Not met minimum")</f>
        <v>Not met minimum</v>
      </c>
    </row>
    <row r="705" spans="1:12" x14ac:dyDescent="0.25">
      <c r="A705" s="8">
        <v>704</v>
      </c>
      <c r="B705" s="9" t="s">
        <v>786</v>
      </c>
      <c r="C705" s="9" t="s">
        <v>12</v>
      </c>
      <c r="D705" s="9" t="s">
        <v>50</v>
      </c>
      <c r="E705" t="s">
        <v>990</v>
      </c>
      <c r="F705" s="11">
        <v>32140</v>
      </c>
      <c r="G705" s="10">
        <v>1735.56</v>
      </c>
      <c r="H705" s="10">
        <v>33875.56</v>
      </c>
      <c r="I705" s="9" t="s">
        <v>21</v>
      </c>
      <c r="J705" s="9" t="s">
        <v>14</v>
      </c>
      <c r="K705" s="4">
        <v>5.3999999999999999E-2</v>
      </c>
      <c r="L705" t="str">
        <f>IF(pg_1[[#This Row],[Salary]]&gt;=90000, "Met minimum", "Not met minimum")</f>
        <v>Not met minimum</v>
      </c>
    </row>
    <row r="706" spans="1:12" x14ac:dyDescent="0.25">
      <c r="A706" s="8">
        <v>705</v>
      </c>
      <c r="B706" s="9" t="s">
        <v>787</v>
      </c>
      <c r="C706" s="9" t="s">
        <v>7</v>
      </c>
      <c r="D706" s="9" t="s">
        <v>53</v>
      </c>
      <c r="E706" t="s">
        <v>988</v>
      </c>
      <c r="F706" s="11">
        <v>102520</v>
      </c>
      <c r="G706" s="10">
        <v>1230.24</v>
      </c>
      <c r="H706" s="10">
        <v>103750.24</v>
      </c>
      <c r="I706" s="9" t="s">
        <v>17</v>
      </c>
      <c r="J706" s="9" t="s">
        <v>24</v>
      </c>
      <c r="K706" s="4">
        <v>1.2E-2</v>
      </c>
      <c r="L706" t="str">
        <f>IF(pg_1[[#This Row],[Salary]]&gt;=90000, "Met minimum", "Not met minimum")</f>
        <v>Met minimum</v>
      </c>
    </row>
    <row r="707" spans="1:12" x14ac:dyDescent="0.25">
      <c r="A707" s="8">
        <v>706</v>
      </c>
      <c r="B707" s="9" t="s">
        <v>788</v>
      </c>
      <c r="C707" s="9" t="s">
        <v>7</v>
      </c>
      <c r="D707" s="9" t="s">
        <v>27</v>
      </c>
      <c r="E707" t="s">
        <v>992</v>
      </c>
      <c r="F707" s="11">
        <v>79590</v>
      </c>
      <c r="G707" s="10">
        <v>397.95</v>
      </c>
      <c r="H707" s="10">
        <v>79987.95</v>
      </c>
      <c r="I707" s="9" t="s">
        <v>17</v>
      </c>
      <c r="J707" s="9" t="s">
        <v>51</v>
      </c>
      <c r="K707" s="4">
        <v>5.0000000000000001E-3</v>
      </c>
      <c r="L707" t="str">
        <f>IF(pg_1[[#This Row],[Salary]]&gt;=90000, "Met minimum", "Not met minimum")</f>
        <v>Not met minimum</v>
      </c>
    </row>
    <row r="708" spans="1:12" x14ac:dyDescent="0.25">
      <c r="A708" s="8">
        <v>707</v>
      </c>
      <c r="B708" s="9" t="s">
        <v>789</v>
      </c>
      <c r="C708" s="9" t="s">
        <v>12</v>
      </c>
      <c r="D708" s="9" t="s">
        <v>23</v>
      </c>
      <c r="E708" t="s">
        <v>993</v>
      </c>
      <c r="F708" s="11">
        <v>28970</v>
      </c>
      <c r="G708" s="10">
        <v>2201.7199999999998</v>
      </c>
      <c r="H708" s="10">
        <v>31171.72</v>
      </c>
      <c r="I708" s="9" t="s">
        <v>9</v>
      </c>
      <c r="J708" s="9" t="s">
        <v>10</v>
      </c>
      <c r="K708" s="4">
        <v>7.5999999999999998E-2</v>
      </c>
      <c r="L708" t="str">
        <f>IF(pg_1[[#This Row],[Salary]]&gt;=90000, "Met minimum", "Not met minimum")</f>
        <v>Not met minimum</v>
      </c>
    </row>
    <row r="709" spans="1:12" x14ac:dyDescent="0.25">
      <c r="A709" s="8">
        <v>708</v>
      </c>
      <c r="B709" s="9" t="s">
        <v>791</v>
      </c>
      <c r="C709" s="9" t="s">
        <v>12</v>
      </c>
      <c r="D709" s="9" t="s">
        <v>27</v>
      </c>
      <c r="E709" t="s">
        <v>994</v>
      </c>
      <c r="F709" s="11">
        <v>92700</v>
      </c>
      <c r="G709" s="10">
        <v>2502.9</v>
      </c>
      <c r="H709" s="10">
        <v>95202.9</v>
      </c>
      <c r="I709" s="9" t="s">
        <v>21</v>
      </c>
      <c r="J709" s="9" t="s">
        <v>28</v>
      </c>
      <c r="K709" s="4">
        <v>2.7E-2</v>
      </c>
      <c r="L709" t="str">
        <f>IF(pg_1[[#This Row],[Salary]]&gt;=90000, "Met minimum", "Not met minimum")</f>
        <v>Met minimum</v>
      </c>
    </row>
    <row r="710" spans="1:12" x14ac:dyDescent="0.25">
      <c r="A710" s="8">
        <v>709</v>
      </c>
      <c r="B710" s="9" t="s">
        <v>792</v>
      </c>
      <c r="C710" s="9" t="s">
        <v>12</v>
      </c>
      <c r="D710" s="9" t="s">
        <v>53</v>
      </c>
      <c r="E710" t="s">
        <v>990</v>
      </c>
      <c r="F710" s="11">
        <v>36150</v>
      </c>
      <c r="G710" s="10">
        <v>433.8</v>
      </c>
      <c r="H710" s="10">
        <v>36583.800000000003</v>
      </c>
      <c r="I710" s="9" t="s">
        <v>21</v>
      </c>
      <c r="J710" s="9" t="s">
        <v>24</v>
      </c>
      <c r="K710" s="4">
        <v>1.2E-2</v>
      </c>
      <c r="L710" t="str">
        <f>IF(pg_1[[#This Row],[Salary]]&gt;=90000, "Met minimum", "Not met minimum")</f>
        <v>Not met minimum</v>
      </c>
    </row>
    <row r="711" spans="1:12" x14ac:dyDescent="0.25">
      <c r="A711" s="8">
        <v>710</v>
      </c>
      <c r="B711" s="9" t="s">
        <v>793</v>
      </c>
      <c r="C711" s="9" t="s">
        <v>7</v>
      </c>
      <c r="D711" s="9" t="s">
        <v>53</v>
      </c>
      <c r="E711" t="s">
        <v>987</v>
      </c>
      <c r="F711" s="11">
        <v>52960</v>
      </c>
      <c r="G711" s="10">
        <v>1059.2</v>
      </c>
      <c r="H711" s="10">
        <v>54019.199999999997</v>
      </c>
      <c r="I711" s="9" t="s">
        <v>9</v>
      </c>
      <c r="J711" s="9" t="s">
        <v>28</v>
      </c>
      <c r="K711" s="4">
        <v>0.02</v>
      </c>
      <c r="L711" t="str">
        <f>IF(pg_1[[#This Row],[Salary]]&gt;=90000, "Met minimum", "Not met minimum")</f>
        <v>Not met minimum</v>
      </c>
    </row>
    <row r="712" spans="1:12" x14ac:dyDescent="0.25">
      <c r="A712" s="8">
        <v>711</v>
      </c>
      <c r="B712" s="9" t="s">
        <v>794</v>
      </c>
      <c r="C712" s="9" t="s">
        <v>12</v>
      </c>
      <c r="D712" s="9" t="s">
        <v>37</v>
      </c>
      <c r="E712" t="s">
        <v>990</v>
      </c>
      <c r="F712" s="11">
        <v>31920</v>
      </c>
      <c r="G712" s="10">
        <v>1021.44</v>
      </c>
      <c r="H712" s="10">
        <v>32941.440000000002</v>
      </c>
      <c r="I712" s="9" t="s">
        <v>21</v>
      </c>
      <c r="J712" s="9" t="s">
        <v>28</v>
      </c>
      <c r="K712" s="4">
        <v>3.2000000000000001E-2</v>
      </c>
      <c r="L712" t="str">
        <f>IF(pg_1[[#This Row],[Salary]]&gt;=90000, "Met minimum", "Not met minimum")</f>
        <v>Not met minimum</v>
      </c>
    </row>
    <row r="713" spans="1:12" x14ac:dyDescent="0.25">
      <c r="A713" s="8">
        <v>712</v>
      </c>
      <c r="B713" s="9" t="s">
        <v>795</v>
      </c>
      <c r="C713" s="9" t="s">
        <v>12</v>
      </c>
      <c r="D713" s="9" t="s">
        <v>37</v>
      </c>
      <c r="E713" t="s">
        <v>988</v>
      </c>
      <c r="F713" s="11">
        <v>104210</v>
      </c>
      <c r="G713" s="10">
        <v>6461.0199999999995</v>
      </c>
      <c r="H713" s="10">
        <v>110671.02</v>
      </c>
      <c r="I713" s="9" t="s">
        <v>17</v>
      </c>
      <c r="J713" s="9" t="s">
        <v>10</v>
      </c>
      <c r="K713" s="4">
        <v>6.2E-2</v>
      </c>
      <c r="L713" t="str">
        <f>IF(pg_1[[#This Row],[Salary]]&gt;=90000, "Met minimum", "Not met minimum")</f>
        <v>Met minimum</v>
      </c>
    </row>
    <row r="714" spans="1:12" x14ac:dyDescent="0.25">
      <c r="A714" s="8">
        <v>713</v>
      </c>
      <c r="B714" s="9" t="s">
        <v>797</v>
      </c>
      <c r="C714" s="9" t="s">
        <v>7</v>
      </c>
      <c r="D714" s="9" t="s">
        <v>67</v>
      </c>
      <c r="E714" t="s">
        <v>989</v>
      </c>
      <c r="F714" s="11">
        <v>40750</v>
      </c>
      <c r="G714" s="10">
        <v>203.75</v>
      </c>
      <c r="H714" s="10">
        <v>40953.75</v>
      </c>
      <c r="I714" s="9" t="s">
        <v>9</v>
      </c>
      <c r="J714" s="9" t="s">
        <v>51</v>
      </c>
      <c r="K714" s="4">
        <v>5.0000000000000001E-3</v>
      </c>
      <c r="L714" t="str">
        <f>IF(pg_1[[#This Row],[Salary]]&gt;=90000, "Met minimum", "Not met minimum")</f>
        <v>Not met minimum</v>
      </c>
    </row>
    <row r="715" spans="1:12" x14ac:dyDescent="0.25">
      <c r="A715" s="8">
        <v>714</v>
      </c>
      <c r="B715" s="9" t="s">
        <v>798</v>
      </c>
      <c r="C715" s="9" t="s">
        <v>12</v>
      </c>
      <c r="D715" s="9" t="s">
        <v>42</v>
      </c>
      <c r="E715" t="s">
        <v>994</v>
      </c>
      <c r="F715" s="11">
        <v>98020</v>
      </c>
      <c r="G715" s="10">
        <v>6175.26</v>
      </c>
      <c r="H715" s="10">
        <v>104195.26</v>
      </c>
      <c r="I715" s="9" t="s">
        <v>17</v>
      </c>
      <c r="J715" s="9" t="s">
        <v>10</v>
      </c>
      <c r="K715" s="4">
        <v>6.3E-2</v>
      </c>
      <c r="L715" t="str">
        <f>IF(pg_1[[#This Row],[Salary]]&gt;=90000, "Met minimum", "Not met minimum")</f>
        <v>Met minimum</v>
      </c>
    </row>
    <row r="716" spans="1:12" x14ac:dyDescent="0.25">
      <c r="A716" s="8">
        <v>715</v>
      </c>
      <c r="B716" s="9" t="s">
        <v>799</v>
      </c>
      <c r="C716" s="9" t="s">
        <v>12</v>
      </c>
      <c r="D716" s="9" t="s">
        <v>8</v>
      </c>
      <c r="E716" t="s">
        <v>994</v>
      </c>
      <c r="F716" s="11">
        <v>96620</v>
      </c>
      <c r="G716" s="10">
        <v>1159.44</v>
      </c>
      <c r="H716" s="10">
        <v>97779.44</v>
      </c>
      <c r="I716" s="9" t="s">
        <v>9</v>
      </c>
      <c r="J716" s="9" t="s">
        <v>24</v>
      </c>
      <c r="K716" s="4">
        <v>1.2E-2</v>
      </c>
      <c r="L716" t="str">
        <f>IF(pg_1[[#This Row],[Salary]]&gt;=90000, "Met minimum", "Not met minimum")</f>
        <v>Met minimum</v>
      </c>
    </row>
    <row r="717" spans="1:12" x14ac:dyDescent="0.25">
      <c r="A717" s="8">
        <v>716</v>
      </c>
      <c r="B717" s="9" t="s">
        <v>800</v>
      </c>
      <c r="C717" s="9" t="s">
        <v>7</v>
      </c>
      <c r="D717" s="9" t="s">
        <v>50</v>
      </c>
      <c r="E717" t="s">
        <v>989</v>
      </c>
      <c r="F717" s="11">
        <v>40400</v>
      </c>
      <c r="G717" s="10">
        <v>3393.6000000000004</v>
      </c>
      <c r="H717" s="10">
        <v>43793.599999999999</v>
      </c>
      <c r="I717" s="9" t="s">
        <v>17</v>
      </c>
      <c r="J717" s="9" t="s">
        <v>10</v>
      </c>
      <c r="K717" s="4">
        <v>8.4000000000000005E-2</v>
      </c>
      <c r="L717" t="str">
        <f>IF(pg_1[[#This Row],[Salary]]&gt;=90000, "Met minimum", "Not met minimum")</f>
        <v>Not met minimum</v>
      </c>
    </row>
    <row r="718" spans="1:12" x14ac:dyDescent="0.25">
      <c r="A718" s="8">
        <v>717</v>
      </c>
      <c r="B718" s="9" t="s">
        <v>801</v>
      </c>
      <c r="C718" s="9" t="s">
        <v>7</v>
      </c>
      <c r="D718" s="9" t="s">
        <v>37</v>
      </c>
      <c r="E718" t="s">
        <v>985</v>
      </c>
      <c r="F718" s="11">
        <v>81220</v>
      </c>
      <c r="G718" s="10">
        <v>812.2</v>
      </c>
      <c r="H718" s="10">
        <v>82032.2</v>
      </c>
      <c r="I718" s="9" t="s">
        <v>9</v>
      </c>
      <c r="J718" s="9" t="s">
        <v>24</v>
      </c>
      <c r="K718" s="4">
        <v>0.01</v>
      </c>
      <c r="L718" t="str">
        <f>IF(pg_1[[#This Row],[Salary]]&gt;=90000, "Met minimum", "Not met minimum")</f>
        <v>Not met minimum</v>
      </c>
    </row>
    <row r="719" spans="1:12" x14ac:dyDescent="0.25">
      <c r="A719" s="8">
        <v>718</v>
      </c>
      <c r="B719" s="9" t="s">
        <v>802</v>
      </c>
      <c r="C719" s="9" t="s">
        <v>7</v>
      </c>
      <c r="D719" s="9" t="s">
        <v>42</v>
      </c>
      <c r="E719" t="s">
        <v>990</v>
      </c>
      <c r="F719" s="11">
        <v>33840</v>
      </c>
      <c r="G719" s="10">
        <v>0</v>
      </c>
      <c r="H719" s="10">
        <v>33840</v>
      </c>
      <c r="I719" s="9" t="s">
        <v>9</v>
      </c>
      <c r="J719" s="9" t="s">
        <v>18</v>
      </c>
      <c r="K719" s="4">
        <v>0</v>
      </c>
      <c r="L719" t="str">
        <f>IF(pg_1[[#This Row],[Salary]]&gt;=90000, "Met minimum", "Not met minimum")</f>
        <v>Not met minimum</v>
      </c>
    </row>
    <row r="720" spans="1:12" x14ac:dyDescent="0.25">
      <c r="A720" s="8">
        <v>719</v>
      </c>
      <c r="B720" s="9" t="s">
        <v>803</v>
      </c>
      <c r="C720" s="9" t="s">
        <v>7</v>
      </c>
      <c r="D720" s="9" t="s">
        <v>50</v>
      </c>
      <c r="E720" t="s">
        <v>992</v>
      </c>
      <c r="F720" s="11">
        <v>75880</v>
      </c>
      <c r="G720" s="10">
        <v>2504.04</v>
      </c>
      <c r="H720" s="10">
        <v>78384.039999999994</v>
      </c>
      <c r="I720" s="9" t="s">
        <v>9</v>
      </c>
      <c r="J720" s="9" t="s">
        <v>28</v>
      </c>
      <c r="K720" s="4">
        <v>3.3000000000000002E-2</v>
      </c>
      <c r="L720" t="str">
        <f>IF(pg_1[[#This Row],[Salary]]&gt;=90000, "Met minimum", "Not met minimum")</f>
        <v>Not met minimum</v>
      </c>
    </row>
    <row r="721" spans="1:12" x14ac:dyDescent="0.25">
      <c r="A721" s="8">
        <v>720</v>
      </c>
      <c r="B721" s="9" t="s">
        <v>804</v>
      </c>
      <c r="C721" s="9" t="s">
        <v>7</v>
      </c>
      <c r="D721" s="9" t="s">
        <v>13</v>
      </c>
      <c r="E721" t="s">
        <v>985</v>
      </c>
      <c r="F721" s="11">
        <v>81380</v>
      </c>
      <c r="G721" s="10">
        <v>0</v>
      </c>
      <c r="H721" s="10">
        <v>81380</v>
      </c>
      <c r="I721" s="9" t="s">
        <v>9</v>
      </c>
      <c r="J721" s="9" t="s">
        <v>18</v>
      </c>
      <c r="K721" s="4">
        <v>0</v>
      </c>
      <c r="L721" t="str">
        <f>IF(pg_1[[#This Row],[Salary]]&gt;=90000, "Met minimum", "Not met minimum")</f>
        <v>Not met minimum</v>
      </c>
    </row>
    <row r="722" spans="1:12" x14ac:dyDescent="0.25">
      <c r="A722" s="8">
        <v>721</v>
      </c>
      <c r="B722" s="9" t="s">
        <v>805</v>
      </c>
      <c r="C722" s="9" t="s">
        <v>7</v>
      </c>
      <c r="D722" s="9" t="s">
        <v>50</v>
      </c>
      <c r="E722" t="s">
        <v>992</v>
      </c>
      <c r="F722" s="11">
        <v>71490</v>
      </c>
      <c r="G722" s="10">
        <v>0</v>
      </c>
      <c r="H722" s="10">
        <v>71490</v>
      </c>
      <c r="I722" s="9" t="s">
        <v>17</v>
      </c>
      <c r="J722" s="9" t="s">
        <v>18</v>
      </c>
      <c r="K722" s="4">
        <v>0</v>
      </c>
      <c r="L722" t="str">
        <f>IF(pg_1[[#This Row],[Salary]]&gt;=90000, "Met minimum", "Not met minimum")</f>
        <v>Not met minimum</v>
      </c>
    </row>
    <row r="723" spans="1:12" x14ac:dyDescent="0.25">
      <c r="A723" s="8">
        <v>722</v>
      </c>
      <c r="B723" s="9" t="s">
        <v>806</v>
      </c>
      <c r="C723" s="9" t="s">
        <v>12</v>
      </c>
      <c r="D723" s="9" t="s">
        <v>37</v>
      </c>
      <c r="E723" t="s">
        <v>994</v>
      </c>
      <c r="F723" s="11">
        <v>91930</v>
      </c>
      <c r="G723" s="10">
        <v>2941.76</v>
      </c>
      <c r="H723" s="10">
        <v>94871.76</v>
      </c>
      <c r="I723" s="9" t="s">
        <v>21</v>
      </c>
      <c r="J723" s="9" t="s">
        <v>28</v>
      </c>
      <c r="K723" s="4">
        <v>3.2000000000000001E-2</v>
      </c>
      <c r="L723" t="str">
        <f>IF(pg_1[[#This Row],[Salary]]&gt;=90000, "Met minimum", "Not met minimum")</f>
        <v>Met minimum</v>
      </c>
    </row>
    <row r="724" spans="1:12" x14ac:dyDescent="0.25">
      <c r="A724" s="8">
        <v>723</v>
      </c>
      <c r="B724" s="9" t="s">
        <v>807</v>
      </c>
      <c r="C724" s="9" t="s">
        <v>12</v>
      </c>
      <c r="D724" s="9" t="s">
        <v>13</v>
      </c>
      <c r="E724" t="s">
        <v>988</v>
      </c>
      <c r="F724" s="11">
        <v>107790</v>
      </c>
      <c r="G724" s="10">
        <v>3772.6500000000005</v>
      </c>
      <c r="H724" s="10">
        <v>111562.65</v>
      </c>
      <c r="I724" s="9" t="s">
        <v>21</v>
      </c>
      <c r="J724" s="9" t="s">
        <v>28</v>
      </c>
      <c r="K724" s="4">
        <v>3.5000000000000003E-2</v>
      </c>
      <c r="L724" t="str">
        <f>IF(pg_1[[#This Row],[Salary]]&gt;=90000, "Met minimum", "Not met minimum")</f>
        <v>Met minimum</v>
      </c>
    </row>
    <row r="725" spans="1:12" x14ac:dyDescent="0.25">
      <c r="A725" s="8">
        <v>724</v>
      </c>
      <c r="B725" s="9" t="s">
        <v>809</v>
      </c>
      <c r="C725" s="9" t="s">
        <v>12</v>
      </c>
      <c r="D725" s="9" t="s">
        <v>37</v>
      </c>
      <c r="E725" t="s">
        <v>986</v>
      </c>
      <c r="F725" s="11">
        <v>69970</v>
      </c>
      <c r="G725" s="10">
        <v>2239.04</v>
      </c>
      <c r="H725" s="10">
        <v>72209.039999999994</v>
      </c>
      <c r="I725" s="9" t="s">
        <v>17</v>
      </c>
      <c r="J725" s="9" t="s">
        <v>28</v>
      </c>
      <c r="K725" s="4">
        <v>3.2000000000000001E-2</v>
      </c>
      <c r="L725" t="str">
        <f>IF(pg_1[[#This Row],[Salary]]&gt;=90000, "Met minimum", "Not met minimum")</f>
        <v>Not met minimum</v>
      </c>
    </row>
    <row r="726" spans="1:12" x14ac:dyDescent="0.25">
      <c r="A726" s="8">
        <v>725</v>
      </c>
      <c r="B726" s="9" t="s">
        <v>810</v>
      </c>
      <c r="C726" s="9" t="s">
        <v>12</v>
      </c>
      <c r="D726" s="9" t="s">
        <v>53</v>
      </c>
      <c r="E726" t="s">
        <v>991</v>
      </c>
      <c r="F726" s="11">
        <v>114180</v>
      </c>
      <c r="G726" s="10">
        <v>8106.7799999999988</v>
      </c>
      <c r="H726" s="10">
        <v>122286.78</v>
      </c>
      <c r="I726" s="9" t="s">
        <v>9</v>
      </c>
      <c r="J726" s="9" t="s">
        <v>10</v>
      </c>
      <c r="K726" s="4">
        <v>7.0999999999999994E-2</v>
      </c>
      <c r="L726" t="str">
        <f>IF(pg_1[[#This Row],[Salary]]&gt;=90000, "Met minimum", "Not met minimum")</f>
        <v>Met minimum</v>
      </c>
    </row>
    <row r="727" spans="1:12" x14ac:dyDescent="0.25">
      <c r="A727" s="8">
        <v>726</v>
      </c>
      <c r="B727" s="9" t="s">
        <v>811</v>
      </c>
      <c r="C727" s="9" t="s">
        <v>7</v>
      </c>
      <c r="D727" s="9" t="s">
        <v>27</v>
      </c>
      <c r="E727" t="s">
        <v>985</v>
      </c>
      <c r="F727" s="11">
        <v>85330</v>
      </c>
      <c r="G727" s="10">
        <v>2303.91</v>
      </c>
      <c r="H727" s="10">
        <v>87633.91</v>
      </c>
      <c r="I727" s="9" t="s">
        <v>17</v>
      </c>
      <c r="J727" s="9" t="s">
        <v>28</v>
      </c>
      <c r="K727" s="4">
        <v>2.7E-2</v>
      </c>
      <c r="L727" t="str">
        <f>IF(pg_1[[#This Row],[Salary]]&gt;=90000, "Met minimum", "Not met minimum")</f>
        <v>Not met minimum</v>
      </c>
    </row>
    <row r="728" spans="1:12" x14ac:dyDescent="0.25">
      <c r="A728" s="8">
        <v>727</v>
      </c>
      <c r="B728" s="9" t="s">
        <v>813</v>
      </c>
      <c r="C728" s="9" t="s">
        <v>12</v>
      </c>
      <c r="D728" s="9" t="s">
        <v>8</v>
      </c>
      <c r="E728" t="s">
        <v>990</v>
      </c>
      <c r="F728" s="11">
        <v>36820</v>
      </c>
      <c r="G728" s="10">
        <v>1877.82</v>
      </c>
      <c r="H728" s="10">
        <v>38697.82</v>
      </c>
      <c r="I728" s="9" t="s">
        <v>17</v>
      </c>
      <c r="J728" s="9" t="s">
        <v>14</v>
      </c>
      <c r="K728" s="4">
        <v>5.0999999999999997E-2</v>
      </c>
      <c r="L728" t="str">
        <f>IF(pg_1[[#This Row],[Salary]]&gt;=90000, "Met minimum", "Not met minimum")</f>
        <v>Not met minimum</v>
      </c>
    </row>
    <row r="729" spans="1:12" x14ac:dyDescent="0.25">
      <c r="A729" s="8">
        <v>728</v>
      </c>
      <c r="B729" s="9" t="s">
        <v>814</v>
      </c>
      <c r="C729" s="9" t="s">
        <v>7</v>
      </c>
      <c r="D729" s="9" t="s">
        <v>67</v>
      </c>
      <c r="E729" t="s">
        <v>991</v>
      </c>
      <c r="F729" s="11">
        <v>116890</v>
      </c>
      <c r="G729" s="10">
        <v>4091.1500000000005</v>
      </c>
      <c r="H729" s="10">
        <v>120981.15</v>
      </c>
      <c r="I729" s="9" t="s">
        <v>21</v>
      </c>
      <c r="J729" s="9" t="s">
        <v>28</v>
      </c>
      <c r="K729" s="4">
        <v>3.5000000000000003E-2</v>
      </c>
      <c r="L729" t="str">
        <f>IF(pg_1[[#This Row],[Salary]]&gt;=90000, "Met minimum", "Not met minimum")</f>
        <v>Met minimum</v>
      </c>
    </row>
    <row r="730" spans="1:12" x14ac:dyDescent="0.25">
      <c r="A730" s="8">
        <v>729</v>
      </c>
      <c r="B730" s="9" t="s">
        <v>815</v>
      </c>
      <c r="C730" s="9" t="s">
        <v>7</v>
      </c>
      <c r="D730" s="9" t="s">
        <v>50</v>
      </c>
      <c r="E730" t="s">
        <v>992</v>
      </c>
      <c r="F730" s="11">
        <v>78710</v>
      </c>
      <c r="G730" s="10">
        <v>1574.2</v>
      </c>
      <c r="H730" s="10">
        <v>80284.2</v>
      </c>
      <c r="I730" s="9" t="s">
        <v>21</v>
      </c>
      <c r="J730" s="9" t="s">
        <v>24</v>
      </c>
      <c r="K730" s="4">
        <v>0.02</v>
      </c>
      <c r="L730" t="str">
        <f>IF(pg_1[[#This Row],[Salary]]&gt;=90000, "Met minimum", "Not met minimum")</f>
        <v>Not met minimum</v>
      </c>
    </row>
    <row r="731" spans="1:12" x14ac:dyDescent="0.25">
      <c r="A731" s="8">
        <v>730</v>
      </c>
      <c r="B731" s="9" t="s">
        <v>816</v>
      </c>
      <c r="C731" s="9" t="s">
        <v>12</v>
      </c>
      <c r="D731" s="9" t="s">
        <v>53</v>
      </c>
      <c r="E731" t="s">
        <v>985</v>
      </c>
      <c r="F731" s="11">
        <v>86470</v>
      </c>
      <c r="G731" s="10">
        <v>1729.4</v>
      </c>
      <c r="H731" s="10">
        <v>88199.4</v>
      </c>
      <c r="I731" s="9" t="s">
        <v>21</v>
      </c>
      <c r="J731" s="9" t="s">
        <v>28</v>
      </c>
      <c r="K731" s="4">
        <v>0.02</v>
      </c>
      <c r="L731" t="str">
        <f>IF(pg_1[[#This Row],[Salary]]&gt;=90000, "Met minimum", "Not met minimum")</f>
        <v>Not met minimum</v>
      </c>
    </row>
    <row r="732" spans="1:12" x14ac:dyDescent="0.25">
      <c r="A732" s="8">
        <v>731</v>
      </c>
      <c r="B732" s="9" t="s">
        <v>817</v>
      </c>
      <c r="C732" s="9" t="s">
        <v>12</v>
      </c>
      <c r="D732" s="9" t="s">
        <v>23</v>
      </c>
      <c r="E732" t="s">
        <v>992</v>
      </c>
      <c r="F732" s="11">
        <v>77110</v>
      </c>
      <c r="G732" s="10">
        <v>2159.08</v>
      </c>
      <c r="H732" s="10">
        <v>79269.08</v>
      </c>
      <c r="I732" s="9" t="s">
        <v>17</v>
      </c>
      <c r="J732" s="9" t="s">
        <v>28</v>
      </c>
      <c r="K732" s="4">
        <v>2.8000000000000001E-2</v>
      </c>
      <c r="L732" t="str">
        <f>IF(pg_1[[#This Row],[Salary]]&gt;=90000, "Met minimum", "Not met minimum")</f>
        <v>Not met minimum</v>
      </c>
    </row>
    <row r="733" spans="1:12" x14ac:dyDescent="0.25">
      <c r="A733" s="8">
        <v>732</v>
      </c>
      <c r="B733" s="9" t="s">
        <v>818</v>
      </c>
      <c r="C733" s="9" t="s">
        <v>12</v>
      </c>
      <c r="D733" s="9" t="s">
        <v>37</v>
      </c>
      <c r="E733" t="s">
        <v>985</v>
      </c>
      <c r="F733" s="11">
        <v>86570</v>
      </c>
      <c r="G733" s="10">
        <v>432.85</v>
      </c>
      <c r="H733" s="10">
        <v>87002.85</v>
      </c>
      <c r="I733" s="9" t="s">
        <v>21</v>
      </c>
      <c r="J733" s="9" t="s">
        <v>51</v>
      </c>
      <c r="K733" s="4">
        <v>5.0000000000000001E-3</v>
      </c>
      <c r="L733" t="str">
        <f>IF(pg_1[[#This Row],[Salary]]&gt;=90000, "Met minimum", "Not met minimum")</f>
        <v>Not met minimum</v>
      </c>
    </row>
    <row r="734" spans="1:12" x14ac:dyDescent="0.25">
      <c r="A734" s="8">
        <v>733</v>
      </c>
      <c r="B734" s="9" t="s">
        <v>819</v>
      </c>
      <c r="C734" s="9" t="s">
        <v>7</v>
      </c>
      <c r="D734" s="9" t="s">
        <v>34</v>
      </c>
      <c r="E734" t="s">
        <v>991</v>
      </c>
      <c r="F734" s="11">
        <v>117850</v>
      </c>
      <c r="G734" s="10">
        <v>5892.5</v>
      </c>
      <c r="H734" s="10">
        <v>123742.5</v>
      </c>
      <c r="I734" s="9" t="s">
        <v>21</v>
      </c>
      <c r="J734" s="9" t="s">
        <v>14</v>
      </c>
      <c r="K734" s="4">
        <v>0.05</v>
      </c>
      <c r="L734" t="str">
        <f>IF(pg_1[[#This Row],[Salary]]&gt;=90000, "Met minimum", "Not met minimum")</f>
        <v>Met minimum</v>
      </c>
    </row>
    <row r="735" spans="1:12" x14ac:dyDescent="0.25">
      <c r="A735" s="8">
        <v>734</v>
      </c>
      <c r="B735" s="9" t="s">
        <v>820</v>
      </c>
      <c r="C735" s="9" t="s">
        <v>12</v>
      </c>
      <c r="D735" s="9" t="s">
        <v>67</v>
      </c>
      <c r="E735" t="s">
        <v>991</v>
      </c>
      <c r="F735" s="11">
        <v>116500</v>
      </c>
      <c r="G735" s="10">
        <v>0</v>
      </c>
      <c r="H735" s="10">
        <v>116500</v>
      </c>
      <c r="I735" s="9" t="s">
        <v>9</v>
      </c>
      <c r="J735" s="9" t="s">
        <v>18</v>
      </c>
      <c r="K735" s="4">
        <v>0</v>
      </c>
      <c r="L735" t="str">
        <f>IF(pg_1[[#This Row],[Salary]]&gt;=90000, "Met minimum", "Not met minimum")</f>
        <v>Met minimum</v>
      </c>
    </row>
    <row r="736" spans="1:12" x14ac:dyDescent="0.25">
      <c r="A736" s="8">
        <v>735</v>
      </c>
      <c r="B736" s="9" t="s">
        <v>821</v>
      </c>
      <c r="C736" s="9" t="s">
        <v>12</v>
      </c>
      <c r="D736" s="9" t="s">
        <v>53</v>
      </c>
      <c r="E736" t="s">
        <v>985</v>
      </c>
      <c r="F736" s="11">
        <v>80030</v>
      </c>
      <c r="G736" s="10">
        <v>960.36</v>
      </c>
      <c r="H736" s="10">
        <v>80990.36</v>
      </c>
      <c r="I736" s="9" t="s">
        <v>21</v>
      </c>
      <c r="J736" s="9" t="s">
        <v>24</v>
      </c>
      <c r="K736" s="4">
        <v>1.2E-2</v>
      </c>
      <c r="L736" t="str">
        <f>IF(pg_1[[#This Row],[Salary]]&gt;=90000, "Met minimum", "Not met minimum")</f>
        <v>Not met minimum</v>
      </c>
    </row>
    <row r="737" spans="1:12" x14ac:dyDescent="0.25">
      <c r="A737" s="8">
        <v>736</v>
      </c>
      <c r="B737" s="9" t="s">
        <v>822</v>
      </c>
      <c r="C737" s="9" t="s">
        <v>7</v>
      </c>
      <c r="D737" s="9" t="s">
        <v>27</v>
      </c>
      <c r="E737" t="s">
        <v>992</v>
      </c>
      <c r="F737" s="11">
        <v>76320</v>
      </c>
      <c r="G737" s="10">
        <v>4121.28</v>
      </c>
      <c r="H737" s="10">
        <v>80441.279999999999</v>
      </c>
      <c r="I737" s="9" t="s">
        <v>9</v>
      </c>
      <c r="J737" s="9" t="s">
        <v>14</v>
      </c>
      <c r="K737" s="4">
        <v>5.3999999999999999E-2</v>
      </c>
      <c r="L737" t="str">
        <f>IF(pg_1[[#This Row],[Salary]]&gt;=90000, "Met minimum", "Not met minimum")</f>
        <v>Not met minimum</v>
      </c>
    </row>
    <row r="738" spans="1:12" x14ac:dyDescent="0.25">
      <c r="A738" s="8">
        <v>737</v>
      </c>
      <c r="B738" s="9" t="s">
        <v>823</v>
      </c>
      <c r="C738" s="9" t="s">
        <v>7</v>
      </c>
      <c r="D738" s="9" t="s">
        <v>23</v>
      </c>
      <c r="E738" t="s">
        <v>991</v>
      </c>
      <c r="F738" s="11">
        <v>110730</v>
      </c>
      <c r="G738" s="10">
        <v>8415.48</v>
      </c>
      <c r="H738" s="10">
        <v>119145.48</v>
      </c>
      <c r="I738" s="9" t="s">
        <v>17</v>
      </c>
      <c r="J738" s="9" t="s">
        <v>10</v>
      </c>
      <c r="K738" s="4">
        <v>7.5999999999999998E-2</v>
      </c>
      <c r="L738" t="str">
        <f>IF(pg_1[[#This Row],[Salary]]&gt;=90000, "Met minimum", "Not met minimum")</f>
        <v>Met minimum</v>
      </c>
    </row>
    <row r="739" spans="1:12" x14ac:dyDescent="0.25">
      <c r="A739" s="8">
        <v>738</v>
      </c>
      <c r="B739" s="9" t="s">
        <v>824</v>
      </c>
      <c r="C739" s="9" t="s">
        <v>12</v>
      </c>
      <c r="D739" s="9" t="s">
        <v>42</v>
      </c>
      <c r="E739" t="s">
        <v>985</v>
      </c>
      <c r="F739" s="11">
        <v>86990</v>
      </c>
      <c r="G739" s="10">
        <v>1652.81</v>
      </c>
      <c r="H739" s="10">
        <v>88642.81</v>
      </c>
      <c r="I739" s="9" t="s">
        <v>17</v>
      </c>
      <c r="J739" s="9" t="s">
        <v>24</v>
      </c>
      <c r="K739" s="4">
        <v>1.9E-2</v>
      </c>
      <c r="L739" t="str">
        <f>IF(pg_1[[#This Row],[Salary]]&gt;=90000, "Met minimum", "Not met minimum")</f>
        <v>Not met minimum</v>
      </c>
    </row>
    <row r="740" spans="1:12" x14ac:dyDescent="0.25">
      <c r="A740" s="8">
        <v>739</v>
      </c>
      <c r="B740" s="9" t="s">
        <v>826</v>
      </c>
      <c r="C740" s="9" t="s">
        <v>7</v>
      </c>
      <c r="D740" s="9" t="s">
        <v>67</v>
      </c>
      <c r="E740" t="s">
        <v>992</v>
      </c>
      <c r="F740" s="11">
        <v>74410</v>
      </c>
      <c r="G740" s="10">
        <v>4315.7800000000007</v>
      </c>
      <c r="H740" s="10">
        <v>78725.78</v>
      </c>
      <c r="I740" s="9" t="s">
        <v>17</v>
      </c>
      <c r="J740" s="9" t="s">
        <v>14</v>
      </c>
      <c r="K740" s="4">
        <v>5.8000000000000003E-2</v>
      </c>
      <c r="L740" t="str">
        <f>IF(pg_1[[#This Row],[Salary]]&gt;=90000, "Met minimum", "Not met minimum")</f>
        <v>Not met minimum</v>
      </c>
    </row>
    <row r="741" spans="1:12" x14ac:dyDescent="0.25">
      <c r="A741" s="8">
        <v>740</v>
      </c>
      <c r="B741" s="9" t="s">
        <v>827</v>
      </c>
      <c r="C741" s="9" t="s">
        <v>7</v>
      </c>
      <c r="D741" s="9" t="s">
        <v>67</v>
      </c>
      <c r="E741" t="s">
        <v>985</v>
      </c>
      <c r="F741" s="11">
        <v>87610</v>
      </c>
      <c r="G741" s="10">
        <v>5081.38</v>
      </c>
      <c r="H741" s="10">
        <v>92691.38</v>
      </c>
      <c r="I741" s="9" t="s">
        <v>9</v>
      </c>
      <c r="J741" s="9" t="s">
        <v>14</v>
      </c>
      <c r="K741" s="4">
        <v>5.8000000000000003E-2</v>
      </c>
      <c r="L741" t="str">
        <f>IF(pg_1[[#This Row],[Salary]]&gt;=90000, "Met minimum", "Not met minimum")</f>
        <v>Not met minimum</v>
      </c>
    </row>
    <row r="742" spans="1:12" x14ac:dyDescent="0.25">
      <c r="A742" s="8">
        <v>741</v>
      </c>
      <c r="B742" s="9" t="s">
        <v>828</v>
      </c>
      <c r="C742" s="9" t="s">
        <v>12</v>
      </c>
      <c r="D742" s="9" t="s">
        <v>34</v>
      </c>
      <c r="E742" t="s">
        <v>988</v>
      </c>
      <c r="F742" s="11">
        <v>103340</v>
      </c>
      <c r="G742" s="10">
        <v>5167</v>
      </c>
      <c r="H742" s="10">
        <v>108507</v>
      </c>
      <c r="I742" s="9" t="s">
        <v>17</v>
      </c>
      <c r="J742" s="9" t="s">
        <v>14</v>
      </c>
      <c r="K742" s="4">
        <v>0.05</v>
      </c>
      <c r="L742" t="str">
        <f>IF(pg_1[[#This Row],[Salary]]&gt;=90000, "Met minimum", "Not met minimum")</f>
        <v>Met minimum</v>
      </c>
    </row>
    <row r="743" spans="1:12" x14ac:dyDescent="0.25">
      <c r="A743" s="8">
        <v>742</v>
      </c>
      <c r="B743" s="9" t="s">
        <v>829</v>
      </c>
      <c r="C743" s="9" t="s">
        <v>12</v>
      </c>
      <c r="D743" s="9" t="s">
        <v>34</v>
      </c>
      <c r="E743" t="s">
        <v>989</v>
      </c>
      <c r="F743" s="11">
        <v>46470</v>
      </c>
      <c r="G743" s="10">
        <v>1115.28</v>
      </c>
      <c r="H743" s="10">
        <v>47585.279999999999</v>
      </c>
      <c r="I743" s="9" t="s">
        <v>21</v>
      </c>
      <c r="J743" s="9" t="s">
        <v>28</v>
      </c>
      <c r="K743" s="4">
        <v>2.4E-2</v>
      </c>
      <c r="L743" t="str">
        <f>IF(pg_1[[#This Row],[Salary]]&gt;=90000, "Met minimum", "Not met minimum")</f>
        <v>Not met minimum</v>
      </c>
    </row>
    <row r="744" spans="1:12" x14ac:dyDescent="0.25">
      <c r="A744" s="8">
        <v>743</v>
      </c>
      <c r="B744" s="9" t="s">
        <v>830</v>
      </c>
      <c r="C744" s="9" t="s">
        <v>7</v>
      </c>
      <c r="D744" s="9" t="s">
        <v>20</v>
      </c>
      <c r="E744" t="s">
        <v>988</v>
      </c>
      <c r="F744" s="11">
        <v>108290</v>
      </c>
      <c r="G744" s="10">
        <v>541.45000000000005</v>
      </c>
      <c r="H744" s="10">
        <v>108831.45</v>
      </c>
      <c r="I744" s="9" t="s">
        <v>17</v>
      </c>
      <c r="J744" s="9" t="s">
        <v>51</v>
      </c>
      <c r="K744" s="4">
        <v>5.0000000000000001E-3</v>
      </c>
      <c r="L744" t="str">
        <f>IF(pg_1[[#This Row],[Salary]]&gt;=90000, "Met minimum", "Not met minimum")</f>
        <v>Met minimum</v>
      </c>
    </row>
    <row r="745" spans="1:12" x14ac:dyDescent="0.25">
      <c r="A745" s="8">
        <v>744</v>
      </c>
      <c r="B745" s="9" t="s">
        <v>831</v>
      </c>
      <c r="C745" s="9" t="s">
        <v>7</v>
      </c>
      <c r="D745" s="9" t="s">
        <v>13</v>
      </c>
      <c r="E745" t="s">
        <v>992</v>
      </c>
      <c r="F745" s="11">
        <v>78640</v>
      </c>
      <c r="G745" s="10">
        <v>3381.5199999999995</v>
      </c>
      <c r="H745" s="10">
        <v>82021.52</v>
      </c>
      <c r="I745" s="9" t="s">
        <v>9</v>
      </c>
      <c r="J745" s="9" t="s">
        <v>14</v>
      </c>
      <c r="K745" s="4">
        <v>4.2999999999999997E-2</v>
      </c>
      <c r="L745" t="str">
        <f>IF(pg_1[[#This Row],[Salary]]&gt;=90000, "Met minimum", "Not met minimum")</f>
        <v>Not met minimum</v>
      </c>
    </row>
    <row r="746" spans="1:12" x14ac:dyDescent="0.25">
      <c r="A746" s="8">
        <v>745</v>
      </c>
      <c r="B746" s="9" t="s">
        <v>832</v>
      </c>
      <c r="C746" s="9" t="s">
        <v>970</v>
      </c>
      <c r="D746" s="9" t="s">
        <v>8</v>
      </c>
      <c r="E746" t="s">
        <v>992</v>
      </c>
      <c r="F746" s="11">
        <v>75990</v>
      </c>
      <c r="G746" s="10">
        <v>1595.7900000000002</v>
      </c>
      <c r="H746" s="10">
        <v>77585.789999999994</v>
      </c>
      <c r="I746" s="9" t="s">
        <v>21</v>
      </c>
      <c r="J746" s="9" t="s">
        <v>28</v>
      </c>
      <c r="K746" s="4">
        <v>2.1000000000000001E-2</v>
      </c>
      <c r="L746" t="str">
        <f>IF(pg_1[[#This Row],[Salary]]&gt;=90000, "Met minimum", "Not met minimum")</f>
        <v>Not met minimum</v>
      </c>
    </row>
    <row r="747" spans="1:12" x14ac:dyDescent="0.25">
      <c r="A747" s="8">
        <v>746</v>
      </c>
      <c r="B747" s="9" t="s">
        <v>833</v>
      </c>
      <c r="C747" s="9" t="s">
        <v>7</v>
      </c>
      <c r="D747" s="9" t="s">
        <v>8</v>
      </c>
      <c r="E747" t="s">
        <v>987</v>
      </c>
      <c r="F747" s="11">
        <v>55280</v>
      </c>
      <c r="G747" s="10">
        <v>1160.8800000000001</v>
      </c>
      <c r="H747" s="10">
        <v>56440.88</v>
      </c>
      <c r="I747" s="9" t="s">
        <v>21</v>
      </c>
      <c r="J747" s="9" t="s">
        <v>28</v>
      </c>
      <c r="K747" s="4">
        <v>2.1000000000000001E-2</v>
      </c>
      <c r="L747" t="str">
        <f>IF(pg_1[[#This Row],[Salary]]&gt;=90000, "Met minimum", "Not met minimum")</f>
        <v>Not met minimum</v>
      </c>
    </row>
    <row r="748" spans="1:12" x14ac:dyDescent="0.25">
      <c r="A748" s="8">
        <v>747</v>
      </c>
      <c r="B748" s="9" t="s">
        <v>834</v>
      </c>
      <c r="C748" s="9" t="s">
        <v>970</v>
      </c>
      <c r="D748" s="9" t="s">
        <v>53</v>
      </c>
      <c r="E748" t="s">
        <v>994</v>
      </c>
      <c r="F748" s="11">
        <v>98010</v>
      </c>
      <c r="G748" s="10">
        <v>1960.2</v>
      </c>
      <c r="H748" s="10">
        <v>99970.2</v>
      </c>
      <c r="I748" s="9" t="s">
        <v>9</v>
      </c>
      <c r="J748" s="9" t="s">
        <v>28</v>
      </c>
      <c r="K748" s="4">
        <v>0.02</v>
      </c>
      <c r="L748" t="str">
        <f>IF(pg_1[[#This Row],[Salary]]&gt;=90000, "Met minimum", "Not met minimum")</f>
        <v>Met minimum</v>
      </c>
    </row>
    <row r="749" spans="1:12" x14ac:dyDescent="0.25">
      <c r="A749" s="8">
        <v>748</v>
      </c>
      <c r="B749" s="9" t="s">
        <v>835</v>
      </c>
      <c r="C749" s="9" t="s">
        <v>7</v>
      </c>
      <c r="D749" s="9" t="s">
        <v>27</v>
      </c>
      <c r="E749" t="s">
        <v>987</v>
      </c>
      <c r="F749" s="11">
        <v>50310</v>
      </c>
      <c r="G749" s="10">
        <v>1358.37</v>
      </c>
      <c r="H749" s="10">
        <v>51668.37</v>
      </c>
      <c r="I749" s="9" t="s">
        <v>21</v>
      </c>
      <c r="J749" s="9" t="s">
        <v>28</v>
      </c>
      <c r="K749" s="4">
        <v>2.7E-2</v>
      </c>
      <c r="L749" t="str">
        <f>IF(pg_1[[#This Row],[Salary]]&gt;=90000, "Met minimum", "Not met minimum")</f>
        <v>Not met minimum</v>
      </c>
    </row>
    <row r="750" spans="1:12" x14ac:dyDescent="0.25">
      <c r="A750" s="8">
        <v>749</v>
      </c>
      <c r="B750" s="9" t="s">
        <v>836</v>
      </c>
      <c r="C750" s="9" t="s">
        <v>7</v>
      </c>
      <c r="D750" s="9" t="s">
        <v>67</v>
      </c>
      <c r="E750" t="s">
        <v>994</v>
      </c>
      <c r="F750" s="11">
        <v>91360</v>
      </c>
      <c r="G750" s="10">
        <v>3197.6000000000004</v>
      </c>
      <c r="H750" s="10">
        <v>94557.6</v>
      </c>
      <c r="I750" s="9" t="s">
        <v>21</v>
      </c>
      <c r="J750" s="9" t="s">
        <v>28</v>
      </c>
      <c r="K750" s="4">
        <v>3.5000000000000003E-2</v>
      </c>
      <c r="L750" t="str">
        <f>IF(pg_1[[#This Row],[Salary]]&gt;=90000, "Met minimum", "Not met minimum")</f>
        <v>Met minimum</v>
      </c>
    </row>
    <row r="751" spans="1:12" x14ac:dyDescent="0.25">
      <c r="A751" s="8">
        <v>750</v>
      </c>
      <c r="B751" s="9" t="s">
        <v>837</v>
      </c>
      <c r="C751" s="9" t="s">
        <v>7</v>
      </c>
      <c r="D751" s="9" t="s">
        <v>53</v>
      </c>
      <c r="E751" t="s">
        <v>991</v>
      </c>
      <c r="F751" s="11">
        <v>115920</v>
      </c>
      <c r="G751" s="10">
        <v>6723.3600000000006</v>
      </c>
      <c r="H751" s="10">
        <v>122643.36</v>
      </c>
      <c r="I751" s="9" t="s">
        <v>17</v>
      </c>
      <c r="J751" s="9" t="s">
        <v>14</v>
      </c>
      <c r="K751" s="4">
        <v>5.8000000000000003E-2</v>
      </c>
      <c r="L751" t="str">
        <f>IF(pg_1[[#This Row],[Salary]]&gt;=90000, "Met minimum", "Not met minimum")</f>
        <v>Met minimum</v>
      </c>
    </row>
    <row r="752" spans="1:12" x14ac:dyDescent="0.25">
      <c r="A752" s="8">
        <v>751</v>
      </c>
      <c r="B752" s="9" t="s">
        <v>838</v>
      </c>
      <c r="C752" s="9" t="s">
        <v>12</v>
      </c>
      <c r="D752" s="9" t="s">
        <v>13</v>
      </c>
      <c r="E752" t="s">
        <v>987</v>
      </c>
      <c r="F752" s="11">
        <v>56870</v>
      </c>
      <c r="G752" s="10">
        <v>625.56999999999994</v>
      </c>
      <c r="H752" s="10">
        <v>57495.57</v>
      </c>
      <c r="I752" s="9" t="s">
        <v>9</v>
      </c>
      <c r="J752" s="9" t="s">
        <v>24</v>
      </c>
      <c r="K752" s="4">
        <v>1.0999999999999999E-2</v>
      </c>
      <c r="L752" t="str">
        <f>IF(pg_1[[#This Row],[Salary]]&gt;=90000, "Met minimum", "Not met minimum")</f>
        <v>Not met minimum</v>
      </c>
    </row>
    <row r="753" spans="1:12" x14ac:dyDescent="0.25">
      <c r="A753" s="8">
        <v>752</v>
      </c>
      <c r="B753" s="9" t="s">
        <v>839</v>
      </c>
      <c r="C753" s="9" t="s">
        <v>12</v>
      </c>
      <c r="D753" s="9" t="s">
        <v>23</v>
      </c>
      <c r="E753" t="s">
        <v>992</v>
      </c>
      <c r="F753" s="11">
        <v>75970</v>
      </c>
      <c r="G753" s="10">
        <v>5773.72</v>
      </c>
      <c r="H753" s="10">
        <v>81743.72</v>
      </c>
      <c r="I753" s="9" t="s">
        <v>17</v>
      </c>
      <c r="J753" s="9" t="s">
        <v>10</v>
      </c>
      <c r="K753" s="4">
        <v>7.5999999999999998E-2</v>
      </c>
      <c r="L753" t="str">
        <f>IF(pg_1[[#This Row],[Salary]]&gt;=90000, "Met minimum", "Not met minimum")</f>
        <v>Not met minimum</v>
      </c>
    </row>
    <row r="754" spans="1:12" x14ac:dyDescent="0.25">
      <c r="A754" s="8">
        <v>753</v>
      </c>
      <c r="B754" s="9" t="s">
        <v>840</v>
      </c>
      <c r="C754" s="9" t="s">
        <v>7</v>
      </c>
      <c r="D754" s="9" t="s">
        <v>53</v>
      </c>
      <c r="E754" t="s">
        <v>987</v>
      </c>
      <c r="F754" s="11">
        <v>52270</v>
      </c>
      <c r="G754" s="10">
        <v>3031.6600000000003</v>
      </c>
      <c r="H754" s="10">
        <v>55301.66</v>
      </c>
      <c r="I754" s="9" t="s">
        <v>21</v>
      </c>
      <c r="J754" s="9" t="s">
        <v>14</v>
      </c>
      <c r="K754" s="4">
        <v>5.8000000000000003E-2</v>
      </c>
      <c r="L754" t="str">
        <f>IF(pg_1[[#This Row],[Salary]]&gt;=90000, "Met minimum", "Not met minimum")</f>
        <v>Not met minimum</v>
      </c>
    </row>
    <row r="755" spans="1:12" x14ac:dyDescent="0.25">
      <c r="A755" s="8">
        <v>754</v>
      </c>
      <c r="B755" s="9" t="s">
        <v>841</v>
      </c>
      <c r="C755" s="9" t="s">
        <v>7</v>
      </c>
      <c r="D755" s="9" t="s">
        <v>34</v>
      </c>
      <c r="E755" t="s">
        <v>990</v>
      </c>
      <c r="F755" s="11">
        <v>39780</v>
      </c>
      <c r="G755" s="10">
        <v>0</v>
      </c>
      <c r="H755" s="10">
        <v>39780</v>
      </c>
      <c r="I755" s="9" t="s">
        <v>9</v>
      </c>
      <c r="J755" s="9" t="s">
        <v>18</v>
      </c>
      <c r="K755" s="4">
        <v>0</v>
      </c>
      <c r="L755" t="str">
        <f>IF(pg_1[[#This Row],[Salary]]&gt;=90000, "Met minimum", "Not met minimum")</f>
        <v>Not met minimum</v>
      </c>
    </row>
    <row r="756" spans="1:12" x14ac:dyDescent="0.25">
      <c r="A756" s="8">
        <v>755</v>
      </c>
      <c r="B756" s="9" t="s">
        <v>842</v>
      </c>
      <c r="C756" s="9" t="s">
        <v>7</v>
      </c>
      <c r="D756" s="9" t="s">
        <v>31</v>
      </c>
      <c r="E756" t="s">
        <v>987</v>
      </c>
      <c r="F756" s="11">
        <v>58960</v>
      </c>
      <c r="G756" s="10">
        <v>1356.08</v>
      </c>
      <c r="H756" s="10">
        <v>60316.08</v>
      </c>
      <c r="I756" s="9" t="s">
        <v>9</v>
      </c>
      <c r="J756" s="9" t="s">
        <v>28</v>
      </c>
      <c r="K756" s="4">
        <v>2.3E-2</v>
      </c>
      <c r="L756" t="str">
        <f>IF(pg_1[[#This Row],[Salary]]&gt;=90000, "Met minimum", "Not met minimum")</f>
        <v>Not met minimum</v>
      </c>
    </row>
    <row r="757" spans="1:12" x14ac:dyDescent="0.25">
      <c r="A757" s="8">
        <v>756</v>
      </c>
      <c r="B757" s="9" t="s">
        <v>843</v>
      </c>
      <c r="C757" s="9" t="s">
        <v>12</v>
      </c>
      <c r="D757" s="9" t="s">
        <v>42</v>
      </c>
      <c r="E757" t="s">
        <v>990</v>
      </c>
      <c r="F757" s="11">
        <v>37900</v>
      </c>
      <c r="G757" s="10">
        <v>2236.1</v>
      </c>
      <c r="H757" s="10">
        <v>40136.1</v>
      </c>
      <c r="I757" s="9" t="s">
        <v>17</v>
      </c>
      <c r="J757" s="9" t="s">
        <v>14</v>
      </c>
      <c r="K757" s="4">
        <v>5.8999999999999997E-2</v>
      </c>
      <c r="L757" t="str">
        <f>IF(pg_1[[#This Row],[Salary]]&gt;=90000, "Met minimum", "Not met minimum")</f>
        <v>Not met minimum</v>
      </c>
    </row>
    <row r="758" spans="1:12" x14ac:dyDescent="0.25">
      <c r="A758" s="8">
        <v>757</v>
      </c>
      <c r="B758" s="9" t="s">
        <v>844</v>
      </c>
      <c r="C758" s="9" t="s">
        <v>12</v>
      </c>
      <c r="D758" s="9" t="s">
        <v>8</v>
      </c>
      <c r="E758" t="s">
        <v>989</v>
      </c>
      <c r="F758" s="11">
        <v>45510</v>
      </c>
      <c r="G758" s="10">
        <v>2321.0099999999998</v>
      </c>
      <c r="H758" s="10">
        <v>47831.01</v>
      </c>
      <c r="I758" s="9" t="s">
        <v>17</v>
      </c>
      <c r="J758" s="9" t="s">
        <v>14</v>
      </c>
      <c r="K758" s="4">
        <v>5.0999999999999997E-2</v>
      </c>
      <c r="L758" t="str">
        <f>IF(pg_1[[#This Row],[Salary]]&gt;=90000, "Met minimum", "Not met minimum")</f>
        <v>Not met minimum</v>
      </c>
    </row>
    <row r="759" spans="1:12" x14ac:dyDescent="0.25">
      <c r="A759" s="8">
        <v>758</v>
      </c>
      <c r="B759" s="9" t="s">
        <v>845</v>
      </c>
      <c r="C759" s="9" t="s">
        <v>12</v>
      </c>
      <c r="D759" s="9" t="s">
        <v>37</v>
      </c>
      <c r="E759" t="s">
        <v>986</v>
      </c>
      <c r="F759" s="11">
        <v>66610</v>
      </c>
      <c r="G759" s="10">
        <v>2131.52</v>
      </c>
      <c r="H759" s="10">
        <v>68741.52</v>
      </c>
      <c r="I759" s="9" t="s">
        <v>17</v>
      </c>
      <c r="J759" s="9" t="s">
        <v>28</v>
      </c>
      <c r="K759" s="4">
        <v>3.2000000000000001E-2</v>
      </c>
      <c r="L759" t="str">
        <f>IF(pg_1[[#This Row],[Salary]]&gt;=90000, "Met minimum", "Not met minimum")</f>
        <v>Not met minimum</v>
      </c>
    </row>
    <row r="760" spans="1:12" x14ac:dyDescent="0.25">
      <c r="A760" s="8">
        <v>759</v>
      </c>
      <c r="B760" s="9" t="s">
        <v>846</v>
      </c>
      <c r="C760" s="9" t="s">
        <v>7</v>
      </c>
      <c r="D760" s="9" t="s">
        <v>8</v>
      </c>
      <c r="E760" t="s">
        <v>989</v>
      </c>
      <c r="F760" s="11">
        <v>44120</v>
      </c>
      <c r="G760" s="10">
        <v>220.6</v>
      </c>
      <c r="H760" s="10">
        <v>44340.6</v>
      </c>
      <c r="I760" s="9" t="s">
        <v>9</v>
      </c>
      <c r="J760" s="9" t="s">
        <v>51</v>
      </c>
      <c r="K760" s="4">
        <v>5.0000000000000001E-3</v>
      </c>
      <c r="L760" t="str">
        <f>IF(pg_1[[#This Row],[Salary]]&gt;=90000, "Met minimum", "Not met minimum")</f>
        <v>Not met minimum</v>
      </c>
    </row>
    <row r="761" spans="1:12" x14ac:dyDescent="0.25">
      <c r="A761" s="8">
        <v>760</v>
      </c>
      <c r="B761" s="9" t="s">
        <v>847</v>
      </c>
      <c r="C761" s="9" t="s">
        <v>12</v>
      </c>
      <c r="D761" s="9" t="s">
        <v>31</v>
      </c>
      <c r="E761" t="s">
        <v>990</v>
      </c>
      <c r="F761" s="11">
        <v>32270</v>
      </c>
      <c r="G761" s="10">
        <v>742.21</v>
      </c>
      <c r="H761" s="10">
        <v>33012.21</v>
      </c>
      <c r="I761" s="9" t="s">
        <v>17</v>
      </c>
      <c r="J761" s="9" t="s">
        <v>28</v>
      </c>
      <c r="K761" s="4">
        <v>2.3E-2</v>
      </c>
      <c r="L761" t="str">
        <f>IF(pg_1[[#This Row],[Salary]]&gt;=90000, "Met minimum", "Not met minimum")</f>
        <v>Not met minimum</v>
      </c>
    </row>
    <row r="762" spans="1:12" x14ac:dyDescent="0.25">
      <c r="A762" s="8">
        <v>761</v>
      </c>
      <c r="B762" s="9" t="s">
        <v>848</v>
      </c>
      <c r="C762" s="9" t="s">
        <v>12</v>
      </c>
      <c r="D762" s="9" t="s">
        <v>13</v>
      </c>
      <c r="E762" t="s">
        <v>990</v>
      </c>
      <c r="F762" s="11">
        <v>37130</v>
      </c>
      <c r="G762" s="10">
        <v>0</v>
      </c>
      <c r="H762" s="10">
        <v>37130</v>
      </c>
      <c r="I762" s="9" t="s">
        <v>9</v>
      </c>
      <c r="J762" s="9" t="s">
        <v>18</v>
      </c>
      <c r="K762" s="4">
        <v>0</v>
      </c>
      <c r="L762" t="str">
        <f>IF(pg_1[[#This Row],[Salary]]&gt;=90000, "Met minimum", "Not met minimum")</f>
        <v>Not met minimum</v>
      </c>
    </row>
    <row r="763" spans="1:12" x14ac:dyDescent="0.25">
      <c r="A763" s="8">
        <v>762</v>
      </c>
      <c r="B763" s="9" t="s">
        <v>849</v>
      </c>
      <c r="C763" s="9" t="s">
        <v>12</v>
      </c>
      <c r="D763" s="9" t="s">
        <v>8</v>
      </c>
      <c r="E763" t="s">
        <v>989</v>
      </c>
      <c r="F763" s="11">
        <v>45590</v>
      </c>
      <c r="G763" s="10">
        <v>2325.0899999999997</v>
      </c>
      <c r="H763" s="10">
        <v>47915.09</v>
      </c>
      <c r="I763" s="9" t="s">
        <v>17</v>
      </c>
      <c r="J763" s="9" t="s">
        <v>14</v>
      </c>
      <c r="K763" s="4">
        <v>5.0999999999999997E-2</v>
      </c>
      <c r="L763" t="str">
        <f>IF(pg_1[[#This Row],[Salary]]&gt;=90000, "Met minimum", "Not met minimum")</f>
        <v>Not met minimum</v>
      </c>
    </row>
    <row r="764" spans="1:12" x14ac:dyDescent="0.25">
      <c r="A764" s="8">
        <v>763</v>
      </c>
      <c r="B764" s="9" t="s">
        <v>850</v>
      </c>
      <c r="C764" s="9" t="s">
        <v>7</v>
      </c>
      <c r="D764" s="9" t="s">
        <v>53</v>
      </c>
      <c r="E764" t="s">
        <v>994</v>
      </c>
      <c r="F764" s="11">
        <v>94070</v>
      </c>
      <c r="G764" s="10">
        <v>1881.4</v>
      </c>
      <c r="H764" s="10">
        <v>95951.4</v>
      </c>
      <c r="I764" s="9" t="s">
        <v>17</v>
      </c>
      <c r="J764" s="9" t="s">
        <v>28</v>
      </c>
      <c r="K764" s="4">
        <v>0.02</v>
      </c>
      <c r="L764" t="str">
        <f>IF(pg_1[[#This Row],[Salary]]&gt;=90000, "Met minimum", "Not met minimum")</f>
        <v>Met minimum</v>
      </c>
    </row>
    <row r="765" spans="1:12" x14ac:dyDescent="0.25">
      <c r="A765" s="8">
        <v>764</v>
      </c>
      <c r="B765" s="9" t="s">
        <v>851</v>
      </c>
      <c r="C765" s="9" t="s">
        <v>12</v>
      </c>
      <c r="D765" s="9" t="s">
        <v>31</v>
      </c>
      <c r="E765" t="s">
        <v>989</v>
      </c>
      <c r="F765" s="11">
        <v>41220</v>
      </c>
      <c r="G765" s="10">
        <v>948.06</v>
      </c>
      <c r="H765" s="10">
        <v>42168.06</v>
      </c>
      <c r="I765" s="9" t="s">
        <v>9</v>
      </c>
      <c r="J765" s="9" t="s">
        <v>28</v>
      </c>
      <c r="K765" s="4">
        <v>2.3E-2</v>
      </c>
      <c r="L765" t="str">
        <f>IF(pg_1[[#This Row],[Salary]]&gt;=90000, "Met minimum", "Not met minimum")</f>
        <v>Not met minimum</v>
      </c>
    </row>
    <row r="766" spans="1:12" x14ac:dyDescent="0.25">
      <c r="A766" s="8">
        <v>765</v>
      </c>
      <c r="B766" s="9" t="s">
        <v>852</v>
      </c>
      <c r="C766" s="9" t="s">
        <v>12</v>
      </c>
      <c r="D766" s="9" t="s">
        <v>53</v>
      </c>
      <c r="E766" t="s">
        <v>991</v>
      </c>
      <c r="F766" s="11">
        <v>119930</v>
      </c>
      <c r="G766" s="10">
        <v>2398.6</v>
      </c>
      <c r="H766" s="10">
        <v>122328.6</v>
      </c>
      <c r="I766" s="9" t="s">
        <v>9</v>
      </c>
      <c r="J766" s="9" t="s">
        <v>28</v>
      </c>
      <c r="K766" s="4">
        <v>0.02</v>
      </c>
      <c r="L766" t="str">
        <f>IF(pg_1[[#This Row],[Salary]]&gt;=90000, "Met minimum", "Not met minimum")</f>
        <v>Met minimum</v>
      </c>
    </row>
    <row r="767" spans="1:12" x14ac:dyDescent="0.25">
      <c r="A767" s="8">
        <v>766</v>
      </c>
      <c r="B767" s="9" t="s">
        <v>853</v>
      </c>
      <c r="C767" s="9" t="s">
        <v>12</v>
      </c>
      <c r="D767" s="9" t="s">
        <v>13</v>
      </c>
      <c r="E767" t="s">
        <v>994</v>
      </c>
      <c r="F767" s="11">
        <v>94820</v>
      </c>
      <c r="G767" s="10">
        <v>3318.7000000000003</v>
      </c>
      <c r="H767" s="10">
        <v>98138.7</v>
      </c>
      <c r="I767" s="9" t="s">
        <v>17</v>
      </c>
      <c r="J767" s="9" t="s">
        <v>28</v>
      </c>
      <c r="K767" s="4">
        <v>3.5000000000000003E-2</v>
      </c>
      <c r="L767" t="str">
        <f>IF(pg_1[[#This Row],[Salary]]&gt;=90000, "Met minimum", "Not met minimum")</f>
        <v>Met minimum</v>
      </c>
    </row>
    <row r="768" spans="1:12" x14ac:dyDescent="0.25">
      <c r="A768" s="8">
        <v>767</v>
      </c>
      <c r="B768" s="9" t="s">
        <v>854</v>
      </c>
      <c r="C768" s="9" t="s">
        <v>7</v>
      </c>
      <c r="D768" s="9" t="s">
        <v>53</v>
      </c>
      <c r="E768" t="s">
        <v>990</v>
      </c>
      <c r="F768" s="11">
        <v>38830</v>
      </c>
      <c r="G768" s="10">
        <v>2252.1400000000003</v>
      </c>
      <c r="H768" s="10">
        <v>41082.14</v>
      </c>
      <c r="I768" s="9" t="s">
        <v>21</v>
      </c>
      <c r="J768" s="9" t="s">
        <v>14</v>
      </c>
      <c r="K768" s="4">
        <v>5.8000000000000003E-2</v>
      </c>
      <c r="L768" t="str">
        <f>IF(pg_1[[#This Row],[Salary]]&gt;=90000, "Met minimum", "Not met minimum")</f>
        <v>Not met minimum</v>
      </c>
    </row>
    <row r="769" spans="1:12" x14ac:dyDescent="0.25">
      <c r="A769" s="8">
        <v>768</v>
      </c>
      <c r="B769" s="9" t="s">
        <v>856</v>
      </c>
      <c r="C769" s="9" t="s">
        <v>12</v>
      </c>
      <c r="D769" s="9" t="s">
        <v>13</v>
      </c>
      <c r="E769" t="s">
        <v>993</v>
      </c>
      <c r="F769" s="11">
        <v>28870</v>
      </c>
      <c r="G769" s="10">
        <v>1761.07</v>
      </c>
      <c r="H769" s="10">
        <v>30631.07</v>
      </c>
      <c r="I769" s="9" t="s">
        <v>17</v>
      </c>
      <c r="J769" s="9" t="s">
        <v>10</v>
      </c>
      <c r="K769" s="4">
        <v>6.0999999999999999E-2</v>
      </c>
      <c r="L769" t="str">
        <f>IF(pg_1[[#This Row],[Salary]]&gt;=90000, "Met minimum", "Not met minimum")</f>
        <v>Not met minimum</v>
      </c>
    </row>
    <row r="770" spans="1:12" x14ac:dyDescent="0.25">
      <c r="A770" s="8">
        <v>769</v>
      </c>
      <c r="B770" s="9" t="s">
        <v>857</v>
      </c>
      <c r="C770" s="9" t="s">
        <v>12</v>
      </c>
      <c r="D770" s="9" t="s">
        <v>67</v>
      </c>
      <c r="E770" t="s">
        <v>992</v>
      </c>
      <c r="F770" s="11">
        <v>70760</v>
      </c>
      <c r="G770" s="10">
        <v>4104.08</v>
      </c>
      <c r="H770" s="10">
        <v>74864.08</v>
      </c>
      <c r="I770" s="9" t="s">
        <v>9</v>
      </c>
      <c r="J770" s="9" t="s">
        <v>14</v>
      </c>
      <c r="K770" s="4">
        <v>5.8000000000000003E-2</v>
      </c>
      <c r="L770" t="str">
        <f>IF(pg_1[[#This Row],[Salary]]&gt;=90000, "Met minimum", "Not met minimum")</f>
        <v>Not met minimum</v>
      </c>
    </row>
    <row r="771" spans="1:12" x14ac:dyDescent="0.25">
      <c r="A771" s="8">
        <v>770</v>
      </c>
      <c r="B771" s="9" t="s">
        <v>858</v>
      </c>
      <c r="C771" s="9" t="s">
        <v>7</v>
      </c>
      <c r="D771" s="9" t="s">
        <v>50</v>
      </c>
      <c r="E771" t="s">
        <v>992</v>
      </c>
      <c r="F771" s="11">
        <v>71540</v>
      </c>
      <c r="G771" s="10">
        <v>2360.8200000000002</v>
      </c>
      <c r="H771" s="10">
        <v>73900.820000000007</v>
      </c>
      <c r="I771" s="9" t="s">
        <v>21</v>
      </c>
      <c r="J771" s="9" t="s">
        <v>28</v>
      </c>
      <c r="K771" s="4">
        <v>3.3000000000000002E-2</v>
      </c>
      <c r="L771" t="str">
        <f>IF(pg_1[[#This Row],[Salary]]&gt;=90000, "Met minimum", "Not met minimum")</f>
        <v>Not met minimum</v>
      </c>
    </row>
    <row r="772" spans="1:12" x14ac:dyDescent="0.25">
      <c r="A772" s="8">
        <v>771</v>
      </c>
      <c r="B772" s="9" t="s">
        <v>859</v>
      </c>
      <c r="C772" s="9" t="s">
        <v>12</v>
      </c>
      <c r="D772" s="9" t="s">
        <v>50</v>
      </c>
      <c r="E772" t="s">
        <v>988</v>
      </c>
      <c r="F772" s="11">
        <v>104680</v>
      </c>
      <c r="G772" s="10">
        <v>3454.44</v>
      </c>
      <c r="H772" s="10">
        <v>108134.44</v>
      </c>
      <c r="I772" s="9" t="s">
        <v>9</v>
      </c>
      <c r="J772" s="9" t="s">
        <v>28</v>
      </c>
      <c r="K772" s="4">
        <v>3.3000000000000002E-2</v>
      </c>
      <c r="L772" t="str">
        <f>IF(pg_1[[#This Row],[Salary]]&gt;=90000, "Met minimum", "Not met minimum")</f>
        <v>Met minimum</v>
      </c>
    </row>
    <row r="773" spans="1:12" x14ac:dyDescent="0.25">
      <c r="A773" s="8">
        <v>772</v>
      </c>
      <c r="B773" s="9" t="s">
        <v>860</v>
      </c>
      <c r="C773" s="9" t="s">
        <v>7</v>
      </c>
      <c r="D773" s="9" t="s">
        <v>42</v>
      </c>
      <c r="E773" t="s">
        <v>986</v>
      </c>
      <c r="F773" s="11">
        <v>63370</v>
      </c>
      <c r="G773" s="10">
        <v>2534.8000000000002</v>
      </c>
      <c r="H773" s="10">
        <v>65904.800000000003</v>
      </c>
      <c r="I773" s="9" t="s">
        <v>9</v>
      </c>
      <c r="J773" s="9" t="s">
        <v>28</v>
      </c>
      <c r="K773" s="4">
        <v>0.04</v>
      </c>
      <c r="L773" t="str">
        <f>IF(pg_1[[#This Row],[Salary]]&gt;=90000, "Met minimum", "Not met minimum")</f>
        <v>Not met minimum</v>
      </c>
    </row>
    <row r="774" spans="1:12" x14ac:dyDescent="0.25">
      <c r="A774" s="8">
        <v>773</v>
      </c>
      <c r="B774" s="9" t="s">
        <v>861</v>
      </c>
      <c r="C774" s="9" t="s">
        <v>7</v>
      </c>
      <c r="D774" s="9" t="s">
        <v>34</v>
      </c>
      <c r="E774" t="s">
        <v>988</v>
      </c>
      <c r="F774" s="11">
        <v>106400</v>
      </c>
      <c r="G774" s="10">
        <v>2553.6</v>
      </c>
      <c r="H774" s="10">
        <v>108953.60000000001</v>
      </c>
      <c r="I774" s="9" t="s">
        <v>9</v>
      </c>
      <c r="J774" s="9" t="s">
        <v>28</v>
      </c>
      <c r="K774" s="4">
        <v>2.4E-2</v>
      </c>
      <c r="L774" t="str">
        <f>IF(pg_1[[#This Row],[Salary]]&gt;=90000, "Met minimum", "Not met minimum")</f>
        <v>Met minimum</v>
      </c>
    </row>
    <row r="775" spans="1:12" x14ac:dyDescent="0.25">
      <c r="A775" s="8">
        <v>774</v>
      </c>
      <c r="B775" s="9" t="s">
        <v>862</v>
      </c>
      <c r="C775" s="9" t="s">
        <v>12</v>
      </c>
      <c r="D775" s="9" t="s">
        <v>67</v>
      </c>
      <c r="E775" t="s">
        <v>990</v>
      </c>
      <c r="F775" s="11">
        <v>36920</v>
      </c>
      <c r="G775" s="10">
        <v>1292.2</v>
      </c>
      <c r="H775" s="10">
        <v>38212.199999999997</v>
      </c>
      <c r="I775" s="9" t="s">
        <v>21</v>
      </c>
      <c r="J775" s="9" t="s">
        <v>28</v>
      </c>
      <c r="K775" s="4">
        <v>3.5000000000000003E-2</v>
      </c>
      <c r="L775" t="str">
        <f>IF(pg_1[[#This Row],[Salary]]&gt;=90000, "Met minimum", "Not met minimum")</f>
        <v>Not met minimum</v>
      </c>
    </row>
    <row r="776" spans="1:12" x14ac:dyDescent="0.25">
      <c r="A776" s="8">
        <v>775</v>
      </c>
      <c r="B776" s="9" t="s">
        <v>863</v>
      </c>
      <c r="C776" s="9" t="s">
        <v>12</v>
      </c>
      <c r="D776" s="9" t="s">
        <v>27</v>
      </c>
      <c r="E776" t="s">
        <v>987</v>
      </c>
      <c r="F776" s="11">
        <v>57820</v>
      </c>
      <c r="G776" s="10">
        <v>1561.1399999999999</v>
      </c>
      <c r="H776" s="10">
        <v>59381.14</v>
      </c>
      <c r="I776" s="9" t="s">
        <v>21</v>
      </c>
      <c r="J776" s="9" t="s">
        <v>28</v>
      </c>
      <c r="K776" s="4">
        <v>2.7E-2</v>
      </c>
      <c r="L776" t="str">
        <f>IF(pg_1[[#This Row],[Salary]]&gt;=90000, "Met minimum", "Not met minimum")</f>
        <v>Not met minimum</v>
      </c>
    </row>
    <row r="777" spans="1:12" x14ac:dyDescent="0.25">
      <c r="A777" s="8">
        <v>776</v>
      </c>
      <c r="B777" s="9" t="s">
        <v>864</v>
      </c>
      <c r="C777" s="9" t="s">
        <v>12</v>
      </c>
      <c r="D777" s="9" t="s">
        <v>34</v>
      </c>
      <c r="E777" t="s">
        <v>994</v>
      </c>
      <c r="F777" s="11">
        <v>93740</v>
      </c>
      <c r="G777" s="10">
        <v>2249.7600000000002</v>
      </c>
      <c r="H777" s="10">
        <v>95989.759999999995</v>
      </c>
      <c r="I777" s="9" t="s">
        <v>21</v>
      </c>
      <c r="J777" s="9" t="s">
        <v>28</v>
      </c>
      <c r="K777" s="4">
        <v>2.4E-2</v>
      </c>
      <c r="L777" t="str">
        <f>IF(pg_1[[#This Row],[Salary]]&gt;=90000, "Met minimum", "Not met minimum")</f>
        <v>Met minimum</v>
      </c>
    </row>
    <row r="778" spans="1:12" x14ac:dyDescent="0.25">
      <c r="A778" s="8">
        <v>777</v>
      </c>
      <c r="B778" s="9" t="s">
        <v>865</v>
      </c>
      <c r="C778" s="9" t="s">
        <v>12</v>
      </c>
      <c r="D778" s="9" t="s">
        <v>42</v>
      </c>
      <c r="E778" t="s">
        <v>994</v>
      </c>
      <c r="F778" s="11">
        <v>93960</v>
      </c>
      <c r="G778" s="10">
        <v>1785.24</v>
      </c>
      <c r="H778" s="10">
        <v>95745.24</v>
      </c>
      <c r="I778" s="9" t="s">
        <v>21</v>
      </c>
      <c r="J778" s="9" t="s">
        <v>24</v>
      </c>
      <c r="K778" s="4">
        <v>1.9E-2</v>
      </c>
      <c r="L778" t="str">
        <f>IF(pg_1[[#This Row],[Salary]]&gt;=90000, "Met minimum", "Not met minimum")</f>
        <v>Met minimum</v>
      </c>
    </row>
    <row r="779" spans="1:12" x14ac:dyDescent="0.25">
      <c r="A779" s="8">
        <v>778</v>
      </c>
      <c r="B779" s="9" t="s">
        <v>866</v>
      </c>
      <c r="C779" s="9" t="s">
        <v>7</v>
      </c>
      <c r="D779" s="9" t="s">
        <v>67</v>
      </c>
      <c r="E779" t="s">
        <v>988</v>
      </c>
      <c r="F779" s="11">
        <v>107220</v>
      </c>
      <c r="G779" s="10">
        <v>3752.7000000000003</v>
      </c>
      <c r="H779" s="10">
        <v>110972.7</v>
      </c>
      <c r="I779" s="9" t="s">
        <v>9</v>
      </c>
      <c r="J779" s="9" t="s">
        <v>28</v>
      </c>
      <c r="K779" s="4">
        <v>3.5000000000000003E-2</v>
      </c>
      <c r="L779" t="str">
        <f>IF(pg_1[[#This Row],[Salary]]&gt;=90000, "Met minimum", "Not met minimum")</f>
        <v>Met minimum</v>
      </c>
    </row>
    <row r="780" spans="1:12" x14ac:dyDescent="0.25">
      <c r="A780" s="8">
        <v>779</v>
      </c>
      <c r="B780" s="9" t="s">
        <v>867</v>
      </c>
      <c r="C780" s="9" t="s">
        <v>12</v>
      </c>
      <c r="D780" s="9" t="s">
        <v>42</v>
      </c>
      <c r="E780" t="s">
        <v>994</v>
      </c>
      <c r="F780" s="11">
        <v>90150</v>
      </c>
      <c r="G780" s="10">
        <v>5679.45</v>
      </c>
      <c r="H780" s="10">
        <v>95829.45</v>
      </c>
      <c r="I780" s="9" t="s">
        <v>17</v>
      </c>
      <c r="J780" s="9" t="s">
        <v>10</v>
      </c>
      <c r="K780" s="4">
        <v>6.3E-2</v>
      </c>
      <c r="L780" t="str">
        <f>IF(pg_1[[#This Row],[Salary]]&gt;=90000, "Met minimum", "Not met minimum")</f>
        <v>Met minimum</v>
      </c>
    </row>
    <row r="781" spans="1:12" x14ac:dyDescent="0.25">
      <c r="A781" s="8">
        <v>780</v>
      </c>
      <c r="B781" s="9" t="s">
        <v>868</v>
      </c>
      <c r="C781" s="9" t="s">
        <v>7</v>
      </c>
      <c r="D781" s="9" t="s">
        <v>13</v>
      </c>
      <c r="E781" t="s">
        <v>994</v>
      </c>
      <c r="F781" s="11">
        <v>94020</v>
      </c>
      <c r="G781" s="10">
        <v>4042.8599999999997</v>
      </c>
      <c r="H781" s="10">
        <v>98062.86</v>
      </c>
      <c r="I781" s="9" t="s">
        <v>17</v>
      </c>
      <c r="J781" s="9" t="s">
        <v>14</v>
      </c>
      <c r="K781" s="4">
        <v>4.2999999999999997E-2</v>
      </c>
      <c r="L781" t="str">
        <f>IF(pg_1[[#This Row],[Salary]]&gt;=90000, "Met minimum", "Not met minimum")</f>
        <v>Met minimum</v>
      </c>
    </row>
    <row r="782" spans="1:12" x14ac:dyDescent="0.25">
      <c r="A782" s="8">
        <v>781</v>
      </c>
      <c r="B782" s="9" t="s">
        <v>869</v>
      </c>
      <c r="C782" s="9" t="s">
        <v>12</v>
      </c>
      <c r="D782" s="9" t="s">
        <v>67</v>
      </c>
      <c r="E782" t="s">
        <v>989</v>
      </c>
      <c r="F782" s="11">
        <v>42970</v>
      </c>
      <c r="G782" s="10">
        <v>2492.2600000000002</v>
      </c>
      <c r="H782" s="10">
        <v>45462.26</v>
      </c>
      <c r="I782" s="9" t="s">
        <v>9</v>
      </c>
      <c r="J782" s="9" t="s">
        <v>14</v>
      </c>
      <c r="K782" s="4">
        <v>5.8000000000000003E-2</v>
      </c>
      <c r="L782" t="str">
        <f>IF(pg_1[[#This Row],[Salary]]&gt;=90000, "Met minimum", "Not met minimum")</f>
        <v>Not met minimum</v>
      </c>
    </row>
    <row r="783" spans="1:12" x14ac:dyDescent="0.25">
      <c r="A783" s="8">
        <v>782</v>
      </c>
      <c r="B783" s="9" t="s">
        <v>870</v>
      </c>
      <c r="C783" s="9" t="s">
        <v>7</v>
      </c>
      <c r="D783" s="9" t="s">
        <v>20</v>
      </c>
      <c r="E783" t="s">
        <v>990</v>
      </c>
      <c r="F783" s="11">
        <v>33410</v>
      </c>
      <c r="G783" s="10">
        <v>701.61</v>
      </c>
      <c r="H783" s="10">
        <v>34111.61</v>
      </c>
      <c r="I783" s="9" t="s">
        <v>21</v>
      </c>
      <c r="J783" s="9" t="s">
        <v>28</v>
      </c>
      <c r="K783" s="4">
        <v>2.1000000000000001E-2</v>
      </c>
      <c r="L783" t="str">
        <f>IF(pg_1[[#This Row],[Salary]]&gt;=90000, "Met minimum", "Not met minimum")</f>
        <v>Not met minimum</v>
      </c>
    </row>
    <row r="784" spans="1:12" x14ac:dyDescent="0.25">
      <c r="A784" s="8">
        <v>783</v>
      </c>
      <c r="B784" s="9" t="s">
        <v>871</v>
      </c>
      <c r="C784" s="9" t="s">
        <v>7</v>
      </c>
      <c r="D784" s="9" t="s">
        <v>37</v>
      </c>
      <c r="E784" t="s">
        <v>991</v>
      </c>
      <c r="F784" s="11">
        <v>119670</v>
      </c>
      <c r="G784" s="10">
        <v>3829.44</v>
      </c>
      <c r="H784" s="10">
        <v>123499.44</v>
      </c>
      <c r="I784" s="9" t="s">
        <v>9</v>
      </c>
      <c r="J784" s="9" t="s">
        <v>28</v>
      </c>
      <c r="K784" s="4">
        <v>3.2000000000000001E-2</v>
      </c>
      <c r="L784" t="str">
        <f>IF(pg_1[[#This Row],[Salary]]&gt;=90000, "Met minimum", "Not met minimum")</f>
        <v>Met minimum</v>
      </c>
    </row>
    <row r="785" spans="1:12" x14ac:dyDescent="0.25">
      <c r="A785" s="8">
        <v>784</v>
      </c>
      <c r="B785" s="9" t="s">
        <v>872</v>
      </c>
      <c r="C785" s="9" t="s">
        <v>7</v>
      </c>
      <c r="D785" s="9" t="s">
        <v>53</v>
      </c>
      <c r="E785" t="s">
        <v>991</v>
      </c>
      <c r="F785" s="11">
        <v>115380</v>
      </c>
      <c r="G785" s="10">
        <v>2307.6</v>
      </c>
      <c r="H785" s="10">
        <v>117687.6</v>
      </c>
      <c r="I785" s="9" t="s">
        <v>21</v>
      </c>
      <c r="J785" s="9" t="s">
        <v>28</v>
      </c>
      <c r="K785" s="4">
        <v>0.02</v>
      </c>
      <c r="L785" t="str">
        <f>IF(pg_1[[#This Row],[Salary]]&gt;=90000, "Met minimum", "Not met minimum")</f>
        <v>Met minimum</v>
      </c>
    </row>
    <row r="786" spans="1:12" x14ac:dyDescent="0.25">
      <c r="A786" s="8">
        <v>785</v>
      </c>
      <c r="B786" s="9" t="s">
        <v>873</v>
      </c>
      <c r="C786" s="9" t="s">
        <v>7</v>
      </c>
      <c r="D786" s="9" t="s">
        <v>23</v>
      </c>
      <c r="E786" t="s">
        <v>992</v>
      </c>
      <c r="F786" s="11">
        <v>75010</v>
      </c>
      <c r="G786" s="10">
        <v>3675.4900000000002</v>
      </c>
      <c r="H786" s="10">
        <v>78685.490000000005</v>
      </c>
      <c r="I786" s="9" t="s">
        <v>21</v>
      </c>
      <c r="J786" s="9" t="s">
        <v>14</v>
      </c>
      <c r="K786" s="4">
        <v>4.9000000000000002E-2</v>
      </c>
      <c r="L786" t="str">
        <f>IF(pg_1[[#This Row],[Salary]]&gt;=90000, "Met minimum", "Not met minimum")</f>
        <v>Not met minimum</v>
      </c>
    </row>
    <row r="787" spans="1:12" x14ac:dyDescent="0.25">
      <c r="A787" s="8">
        <v>786</v>
      </c>
      <c r="B787" s="9" t="s">
        <v>874</v>
      </c>
      <c r="C787" s="9" t="s">
        <v>12</v>
      </c>
      <c r="D787" s="9" t="s">
        <v>53</v>
      </c>
      <c r="E787" t="s">
        <v>988</v>
      </c>
      <c r="F787" s="11">
        <v>104120</v>
      </c>
      <c r="G787" s="10">
        <v>6038.96</v>
      </c>
      <c r="H787" s="10">
        <v>110158.96</v>
      </c>
      <c r="I787" s="9" t="s">
        <v>17</v>
      </c>
      <c r="J787" s="9" t="s">
        <v>14</v>
      </c>
      <c r="K787" s="4">
        <v>5.8000000000000003E-2</v>
      </c>
      <c r="L787" t="str">
        <f>IF(pg_1[[#This Row],[Salary]]&gt;=90000, "Met minimum", "Not met minimum")</f>
        <v>Met minimum</v>
      </c>
    </row>
    <row r="788" spans="1:12" x14ac:dyDescent="0.25">
      <c r="A788" s="8">
        <v>787</v>
      </c>
      <c r="B788" s="9" t="s">
        <v>875</v>
      </c>
      <c r="C788" s="9" t="s">
        <v>7</v>
      </c>
      <c r="D788" s="9" t="s">
        <v>50</v>
      </c>
      <c r="E788" t="s">
        <v>985</v>
      </c>
      <c r="F788" s="11">
        <v>82680</v>
      </c>
      <c r="G788" s="10">
        <v>413.40000000000003</v>
      </c>
      <c r="H788" s="10">
        <v>83093.399999999994</v>
      </c>
      <c r="I788" s="9" t="s">
        <v>9</v>
      </c>
      <c r="J788" s="9" t="s">
        <v>51</v>
      </c>
      <c r="K788" s="4">
        <v>5.0000000000000001E-3</v>
      </c>
      <c r="L788" t="str">
        <f>IF(pg_1[[#This Row],[Salary]]&gt;=90000, "Met minimum", "Not met minimum")</f>
        <v>Not met minimum</v>
      </c>
    </row>
    <row r="789" spans="1:12" x14ac:dyDescent="0.25">
      <c r="A789" s="8">
        <v>788</v>
      </c>
      <c r="B789" s="9" t="s">
        <v>876</v>
      </c>
      <c r="C789" s="9" t="s">
        <v>7</v>
      </c>
      <c r="D789" s="9" t="s">
        <v>53</v>
      </c>
      <c r="E789" t="s">
        <v>987</v>
      </c>
      <c r="F789" s="11">
        <v>52250</v>
      </c>
      <c r="G789" s="10">
        <v>261.25</v>
      </c>
      <c r="H789" s="10">
        <v>52511.25</v>
      </c>
      <c r="I789" s="9" t="s">
        <v>21</v>
      </c>
      <c r="J789" s="9" t="s">
        <v>51</v>
      </c>
      <c r="K789" s="4">
        <v>5.0000000000000001E-3</v>
      </c>
      <c r="L789" t="str">
        <f>IF(pg_1[[#This Row],[Salary]]&gt;=90000, "Met minimum", "Not met minimum")</f>
        <v>Not met minimum</v>
      </c>
    </row>
    <row r="790" spans="1:12" x14ac:dyDescent="0.25">
      <c r="A790" s="8">
        <v>789</v>
      </c>
      <c r="B790" s="9" t="s">
        <v>877</v>
      </c>
      <c r="C790" s="9" t="s">
        <v>7</v>
      </c>
      <c r="D790" s="9" t="s">
        <v>8</v>
      </c>
      <c r="E790" t="s">
        <v>985</v>
      </c>
      <c r="F790" s="11">
        <v>83190</v>
      </c>
      <c r="G790" s="10">
        <v>1746.99</v>
      </c>
      <c r="H790" s="10">
        <v>84936.99</v>
      </c>
      <c r="I790" s="9" t="s">
        <v>9</v>
      </c>
      <c r="J790" s="9" t="s">
        <v>28</v>
      </c>
      <c r="K790" s="4">
        <v>2.1000000000000001E-2</v>
      </c>
      <c r="L790" t="str">
        <f>IF(pg_1[[#This Row],[Salary]]&gt;=90000, "Met minimum", "Not met minimum")</f>
        <v>Not met minimum</v>
      </c>
    </row>
    <row r="791" spans="1:12" x14ac:dyDescent="0.25">
      <c r="A791" s="8">
        <v>790</v>
      </c>
      <c r="B791" s="9" t="s">
        <v>880</v>
      </c>
      <c r="C791" s="9" t="s">
        <v>7</v>
      </c>
      <c r="D791" s="9" t="s">
        <v>53</v>
      </c>
      <c r="E791" t="s">
        <v>985</v>
      </c>
      <c r="F791" s="11">
        <v>83590</v>
      </c>
      <c r="G791" s="10">
        <v>1003.08</v>
      </c>
      <c r="H791" s="10">
        <v>84593.08</v>
      </c>
      <c r="I791" s="9" t="s">
        <v>17</v>
      </c>
      <c r="J791" s="9" t="s">
        <v>24</v>
      </c>
      <c r="K791" s="4">
        <v>1.2E-2</v>
      </c>
      <c r="L791" t="str">
        <f>IF(pg_1[[#This Row],[Salary]]&gt;=90000, "Met minimum", "Not met minimum")</f>
        <v>Not met minimum</v>
      </c>
    </row>
    <row r="792" spans="1:12" x14ac:dyDescent="0.25">
      <c r="A792" s="8">
        <v>791</v>
      </c>
      <c r="B792" s="9" t="s">
        <v>881</v>
      </c>
      <c r="C792" s="9" t="s">
        <v>7</v>
      </c>
      <c r="D792" s="9" t="s">
        <v>50</v>
      </c>
      <c r="E792" t="s">
        <v>988</v>
      </c>
      <c r="F792" s="11">
        <v>107700</v>
      </c>
      <c r="G792" s="10">
        <v>9046.8000000000011</v>
      </c>
      <c r="H792" s="10">
        <v>116746.8</v>
      </c>
      <c r="I792" s="9" t="s">
        <v>17</v>
      </c>
      <c r="J792" s="9" t="s">
        <v>10</v>
      </c>
      <c r="K792" s="4">
        <v>8.4000000000000005E-2</v>
      </c>
      <c r="L792" t="str">
        <f>IF(pg_1[[#This Row],[Salary]]&gt;=90000, "Met minimum", "Not met minimum")</f>
        <v>Met minimum</v>
      </c>
    </row>
    <row r="793" spans="1:12" x14ac:dyDescent="0.25">
      <c r="A793" s="8">
        <v>792</v>
      </c>
      <c r="B793" s="9" t="s">
        <v>882</v>
      </c>
      <c r="C793" s="9" t="s">
        <v>12</v>
      </c>
      <c r="D793" s="9" t="s">
        <v>8</v>
      </c>
      <c r="E793" t="s">
        <v>988</v>
      </c>
      <c r="F793" s="11">
        <v>102130</v>
      </c>
      <c r="G793" s="10">
        <v>2144.73</v>
      </c>
      <c r="H793" s="10">
        <v>104274.73</v>
      </c>
      <c r="I793" s="9" t="s">
        <v>21</v>
      </c>
      <c r="J793" s="9" t="s">
        <v>28</v>
      </c>
      <c r="K793" s="4">
        <v>2.1000000000000001E-2</v>
      </c>
      <c r="L793" t="str">
        <f>IF(pg_1[[#This Row],[Salary]]&gt;=90000, "Met minimum", "Not met minimum")</f>
        <v>Met minimum</v>
      </c>
    </row>
    <row r="794" spans="1:12" x14ac:dyDescent="0.25">
      <c r="A794" s="8">
        <v>793</v>
      </c>
      <c r="B794" s="9" t="s">
        <v>883</v>
      </c>
      <c r="C794" s="9" t="s">
        <v>7</v>
      </c>
      <c r="D794" s="9" t="s">
        <v>13</v>
      </c>
      <c r="E794" t="s">
        <v>992</v>
      </c>
      <c r="F794" s="11">
        <v>74360</v>
      </c>
      <c r="G794" s="10">
        <v>3197.4799999999996</v>
      </c>
      <c r="H794" s="10">
        <v>77557.48</v>
      </c>
      <c r="I794" s="9" t="s">
        <v>9</v>
      </c>
      <c r="J794" s="9" t="s">
        <v>14</v>
      </c>
      <c r="K794" s="4">
        <v>4.2999999999999997E-2</v>
      </c>
      <c r="L794" t="str">
        <f>IF(pg_1[[#This Row],[Salary]]&gt;=90000, "Met minimum", "Not met minimum")</f>
        <v>Not met minimum</v>
      </c>
    </row>
    <row r="795" spans="1:12" x14ac:dyDescent="0.25">
      <c r="A795" s="8">
        <v>794</v>
      </c>
      <c r="B795" s="9" t="s">
        <v>884</v>
      </c>
      <c r="C795" s="9" t="s">
        <v>12</v>
      </c>
      <c r="D795" s="9" t="s">
        <v>31</v>
      </c>
      <c r="E795" t="s">
        <v>989</v>
      </c>
      <c r="F795" s="11">
        <v>42310</v>
      </c>
      <c r="G795" s="10">
        <v>0</v>
      </c>
      <c r="H795" s="10">
        <v>42310</v>
      </c>
      <c r="I795" s="9" t="s">
        <v>17</v>
      </c>
      <c r="J795" s="9" t="s">
        <v>18</v>
      </c>
      <c r="K795" s="4">
        <v>0</v>
      </c>
      <c r="L795" t="str">
        <f>IF(pg_1[[#This Row],[Salary]]&gt;=90000, "Met minimum", "Not met minimum")</f>
        <v>Not met minimum</v>
      </c>
    </row>
    <row r="796" spans="1:12" x14ac:dyDescent="0.25">
      <c r="A796" s="8">
        <v>795</v>
      </c>
      <c r="B796" s="9" t="s">
        <v>885</v>
      </c>
      <c r="C796" s="9" t="s">
        <v>7</v>
      </c>
      <c r="D796" s="9" t="s">
        <v>13</v>
      </c>
      <c r="E796" t="s">
        <v>992</v>
      </c>
      <c r="F796" s="11">
        <v>78440</v>
      </c>
      <c r="G796" s="10">
        <v>862.83999999999992</v>
      </c>
      <c r="H796" s="10">
        <v>79302.84</v>
      </c>
      <c r="I796" s="9" t="s">
        <v>9</v>
      </c>
      <c r="J796" s="9" t="s">
        <v>24</v>
      </c>
      <c r="K796" s="4">
        <v>1.0999999999999999E-2</v>
      </c>
      <c r="L796" t="str">
        <f>IF(pg_1[[#This Row],[Salary]]&gt;=90000, "Met minimum", "Not met minimum")</f>
        <v>Not met minimum</v>
      </c>
    </row>
    <row r="797" spans="1:12" x14ac:dyDescent="0.25">
      <c r="A797" s="8">
        <v>796</v>
      </c>
      <c r="B797" s="9" t="s">
        <v>886</v>
      </c>
      <c r="C797" s="9" t="s">
        <v>12</v>
      </c>
      <c r="D797" s="9" t="s">
        <v>23</v>
      </c>
      <c r="E797" t="s">
        <v>991</v>
      </c>
      <c r="F797" s="11">
        <v>113760</v>
      </c>
      <c r="G797" s="10">
        <v>5574.24</v>
      </c>
      <c r="H797" s="10">
        <v>119334.24</v>
      </c>
      <c r="I797" s="9" t="s">
        <v>21</v>
      </c>
      <c r="J797" s="9" t="s">
        <v>14</v>
      </c>
      <c r="K797" s="4">
        <v>4.9000000000000002E-2</v>
      </c>
      <c r="L797" t="str">
        <f>IF(pg_1[[#This Row],[Salary]]&gt;=90000, "Met minimum", "Not met minimum")</f>
        <v>Met minimum</v>
      </c>
    </row>
    <row r="798" spans="1:12" x14ac:dyDescent="0.25">
      <c r="A798" s="8">
        <v>797</v>
      </c>
      <c r="B798" s="9" t="s">
        <v>887</v>
      </c>
      <c r="C798" s="9" t="s">
        <v>12</v>
      </c>
      <c r="D798" s="9" t="s">
        <v>31</v>
      </c>
      <c r="E798" t="s">
        <v>994</v>
      </c>
      <c r="F798" s="11">
        <v>93880</v>
      </c>
      <c r="G798" s="10">
        <v>2159.2399999999998</v>
      </c>
      <c r="H798" s="10">
        <v>96039.24</v>
      </c>
      <c r="I798" s="9" t="s">
        <v>21</v>
      </c>
      <c r="J798" s="9" t="s">
        <v>28</v>
      </c>
      <c r="K798" s="4">
        <v>2.3E-2</v>
      </c>
      <c r="L798" t="str">
        <f>IF(pg_1[[#This Row],[Salary]]&gt;=90000, "Met minimum", "Not met minimum")</f>
        <v>Met minimum</v>
      </c>
    </row>
    <row r="799" spans="1:12" x14ac:dyDescent="0.25">
      <c r="A799" s="8">
        <v>798</v>
      </c>
      <c r="B799" s="9" t="s">
        <v>888</v>
      </c>
      <c r="C799" s="9" t="s">
        <v>12</v>
      </c>
      <c r="D799" s="9" t="s">
        <v>20</v>
      </c>
      <c r="E799" t="s">
        <v>985</v>
      </c>
      <c r="F799" s="11">
        <v>85000</v>
      </c>
      <c r="G799" s="10">
        <v>1615</v>
      </c>
      <c r="H799" s="10">
        <v>86615</v>
      </c>
      <c r="I799" s="9" t="s">
        <v>21</v>
      </c>
      <c r="J799" s="9" t="s">
        <v>24</v>
      </c>
      <c r="K799" s="4">
        <v>1.9E-2</v>
      </c>
      <c r="L799" t="str">
        <f>IF(pg_1[[#This Row],[Salary]]&gt;=90000, "Met minimum", "Not met minimum")</f>
        <v>Not met minimum</v>
      </c>
    </row>
    <row r="800" spans="1:12" x14ac:dyDescent="0.25">
      <c r="A800" s="8">
        <v>799</v>
      </c>
      <c r="B800" s="9" t="s">
        <v>889</v>
      </c>
      <c r="C800" s="9" t="s">
        <v>7</v>
      </c>
      <c r="D800" s="9" t="s">
        <v>27</v>
      </c>
      <c r="E800" t="s">
        <v>992</v>
      </c>
      <c r="F800" s="11">
        <v>72550</v>
      </c>
      <c r="G800" s="10">
        <v>1958.85</v>
      </c>
      <c r="H800" s="10">
        <v>74508.850000000006</v>
      </c>
      <c r="I800" s="9" t="s">
        <v>9</v>
      </c>
      <c r="J800" s="9" t="s">
        <v>28</v>
      </c>
      <c r="K800" s="4">
        <v>2.7E-2</v>
      </c>
      <c r="L800" t="str">
        <f>IF(pg_1[[#This Row],[Salary]]&gt;=90000, "Met minimum", "Not met minimum")</f>
        <v>Not met minimum</v>
      </c>
    </row>
    <row r="801" spans="1:12" x14ac:dyDescent="0.25">
      <c r="A801" s="8">
        <v>800</v>
      </c>
      <c r="B801" s="9" t="s">
        <v>890</v>
      </c>
      <c r="C801" s="9" t="s">
        <v>12</v>
      </c>
      <c r="D801" s="9" t="s">
        <v>20</v>
      </c>
      <c r="E801" t="s">
        <v>992</v>
      </c>
      <c r="F801" s="11">
        <v>72360</v>
      </c>
      <c r="G801" s="10">
        <v>1374.84</v>
      </c>
      <c r="H801" s="10">
        <v>73734.84</v>
      </c>
      <c r="I801" s="9" t="s">
        <v>21</v>
      </c>
      <c r="J801" s="9" t="s">
        <v>24</v>
      </c>
      <c r="K801" s="4">
        <v>1.9E-2</v>
      </c>
      <c r="L801" t="str">
        <f>IF(pg_1[[#This Row],[Salary]]&gt;=90000, "Met minimum", "Not met minimum")</f>
        <v>Not met minimum</v>
      </c>
    </row>
    <row r="802" spans="1:12" x14ac:dyDescent="0.25">
      <c r="A802" s="8">
        <v>801</v>
      </c>
      <c r="B802" s="9" t="s">
        <v>891</v>
      </c>
      <c r="C802" s="9" t="s">
        <v>12</v>
      </c>
      <c r="D802" s="9" t="s">
        <v>53</v>
      </c>
      <c r="E802" t="s">
        <v>991</v>
      </c>
      <c r="F802" s="11">
        <v>114890</v>
      </c>
      <c r="G802" s="10">
        <v>2297.8000000000002</v>
      </c>
      <c r="H802" s="10">
        <v>117187.8</v>
      </c>
      <c r="I802" s="9" t="s">
        <v>17</v>
      </c>
      <c r="J802" s="9" t="s">
        <v>28</v>
      </c>
      <c r="K802" s="4">
        <v>0.02</v>
      </c>
      <c r="L802" t="str">
        <f>IF(pg_1[[#This Row],[Salary]]&gt;=90000, "Met minimum", "Not met minimum")</f>
        <v>Met minimum</v>
      </c>
    </row>
    <row r="803" spans="1:12" x14ac:dyDescent="0.25">
      <c r="A803" s="8">
        <v>802</v>
      </c>
      <c r="B803" s="9" t="s">
        <v>892</v>
      </c>
      <c r="C803" s="9" t="s">
        <v>12</v>
      </c>
      <c r="D803" s="9" t="s">
        <v>67</v>
      </c>
      <c r="E803" t="s">
        <v>988</v>
      </c>
      <c r="F803" s="11">
        <v>107580</v>
      </c>
      <c r="G803" s="10">
        <v>1398.54</v>
      </c>
      <c r="H803" s="10">
        <v>108978.54</v>
      </c>
      <c r="I803" s="9" t="s">
        <v>17</v>
      </c>
      <c r="J803" s="9" t="s">
        <v>24</v>
      </c>
      <c r="K803" s="4">
        <v>1.2999999999999999E-2</v>
      </c>
      <c r="L803" t="str">
        <f>IF(pg_1[[#This Row],[Salary]]&gt;=90000, "Met minimum", "Not met minimum")</f>
        <v>Met minimum</v>
      </c>
    </row>
    <row r="804" spans="1:12" x14ac:dyDescent="0.25">
      <c r="A804" s="8">
        <v>803</v>
      </c>
      <c r="B804" s="9" t="s">
        <v>893</v>
      </c>
      <c r="C804" s="9" t="s">
        <v>7</v>
      </c>
      <c r="D804" s="9" t="s">
        <v>50</v>
      </c>
      <c r="E804" t="s">
        <v>990</v>
      </c>
      <c r="F804" s="11">
        <v>36040</v>
      </c>
      <c r="G804" s="10">
        <v>1189.3200000000002</v>
      </c>
      <c r="H804" s="10">
        <v>37229.32</v>
      </c>
      <c r="I804" s="9" t="s">
        <v>17</v>
      </c>
      <c r="J804" s="9" t="s">
        <v>28</v>
      </c>
      <c r="K804" s="4">
        <v>3.3000000000000002E-2</v>
      </c>
      <c r="L804" t="str">
        <f>IF(pg_1[[#This Row],[Salary]]&gt;=90000, "Met minimum", "Not met minimum")</f>
        <v>Not met minimum</v>
      </c>
    </row>
    <row r="805" spans="1:12" x14ac:dyDescent="0.25">
      <c r="A805" s="8">
        <v>804</v>
      </c>
      <c r="B805" s="9" t="s">
        <v>895</v>
      </c>
      <c r="C805" s="9" t="s">
        <v>7</v>
      </c>
      <c r="D805" s="9" t="s">
        <v>37</v>
      </c>
      <c r="E805" t="s">
        <v>990</v>
      </c>
      <c r="F805" s="11">
        <v>35010</v>
      </c>
      <c r="G805" s="10">
        <v>1120.32</v>
      </c>
      <c r="H805" s="10">
        <v>36130.32</v>
      </c>
      <c r="I805" s="9" t="s">
        <v>21</v>
      </c>
      <c r="J805" s="9" t="s">
        <v>28</v>
      </c>
      <c r="K805" s="4">
        <v>3.2000000000000001E-2</v>
      </c>
      <c r="L805" t="str">
        <f>IF(pg_1[[#This Row],[Salary]]&gt;=90000, "Met minimum", "Not met minimum")</f>
        <v>Not met minimum</v>
      </c>
    </row>
    <row r="806" spans="1:12" x14ac:dyDescent="0.25">
      <c r="A806" s="8">
        <v>805</v>
      </c>
      <c r="B806" s="9" t="s">
        <v>896</v>
      </c>
      <c r="C806" s="9" t="s">
        <v>7</v>
      </c>
      <c r="D806" s="9" t="s">
        <v>50</v>
      </c>
      <c r="E806" t="s">
        <v>992</v>
      </c>
      <c r="F806" s="11">
        <v>74280</v>
      </c>
      <c r="G806" s="10">
        <v>2451.2400000000002</v>
      </c>
      <c r="H806" s="10">
        <v>76731.240000000005</v>
      </c>
      <c r="I806" s="9" t="s">
        <v>9</v>
      </c>
      <c r="J806" s="9" t="s">
        <v>28</v>
      </c>
      <c r="K806" s="4">
        <v>3.3000000000000002E-2</v>
      </c>
      <c r="L806" t="str">
        <f>IF(pg_1[[#This Row],[Salary]]&gt;=90000, "Met minimum", "Not met minimum")</f>
        <v>Not met minimum</v>
      </c>
    </row>
    <row r="807" spans="1:12" x14ac:dyDescent="0.25">
      <c r="A807" s="8">
        <v>806</v>
      </c>
      <c r="B807" s="9" t="s">
        <v>897</v>
      </c>
      <c r="C807" s="9" t="s">
        <v>7</v>
      </c>
      <c r="D807" s="9" t="s">
        <v>50</v>
      </c>
      <c r="E807" t="s">
        <v>991</v>
      </c>
      <c r="F807" s="11">
        <v>115790</v>
      </c>
      <c r="G807" s="10">
        <v>578.95000000000005</v>
      </c>
      <c r="H807" s="10">
        <v>116368.95</v>
      </c>
      <c r="I807" s="9" t="s">
        <v>9</v>
      </c>
      <c r="J807" s="9" t="s">
        <v>51</v>
      </c>
      <c r="K807" s="4">
        <v>5.0000000000000001E-3</v>
      </c>
      <c r="L807" t="str">
        <f>IF(pg_1[[#This Row],[Salary]]&gt;=90000, "Met minimum", "Not met minimum")</f>
        <v>Met minimum</v>
      </c>
    </row>
    <row r="808" spans="1:12" x14ac:dyDescent="0.25">
      <c r="A808" s="8">
        <v>807</v>
      </c>
      <c r="B808" s="9" t="s">
        <v>898</v>
      </c>
      <c r="C808" s="9" t="s">
        <v>7</v>
      </c>
      <c r="D808" s="9" t="s">
        <v>23</v>
      </c>
      <c r="E808" t="s">
        <v>990</v>
      </c>
      <c r="F808" s="11">
        <v>38330</v>
      </c>
      <c r="G808" s="10">
        <v>1073.24</v>
      </c>
      <c r="H808" s="10">
        <v>39403.24</v>
      </c>
      <c r="I808" s="9" t="s">
        <v>9</v>
      </c>
      <c r="J808" s="9" t="s">
        <v>28</v>
      </c>
      <c r="K808" s="4">
        <v>2.8000000000000001E-2</v>
      </c>
      <c r="L808" t="str">
        <f>IF(pg_1[[#This Row],[Salary]]&gt;=90000, "Met minimum", "Not met minimum")</f>
        <v>Not met minimum</v>
      </c>
    </row>
    <row r="809" spans="1:12" x14ac:dyDescent="0.25">
      <c r="A809" s="8">
        <v>808</v>
      </c>
      <c r="B809" s="9" t="s">
        <v>899</v>
      </c>
      <c r="C809" s="9" t="s">
        <v>7</v>
      </c>
      <c r="D809" s="9" t="s">
        <v>34</v>
      </c>
      <c r="E809" t="s">
        <v>992</v>
      </c>
      <c r="F809" s="11">
        <v>70270</v>
      </c>
      <c r="G809" s="10">
        <v>5129.71</v>
      </c>
      <c r="H809" s="10">
        <v>75399.710000000006</v>
      </c>
      <c r="I809" s="9" t="s">
        <v>17</v>
      </c>
      <c r="J809" s="9" t="s">
        <v>10</v>
      </c>
      <c r="K809" s="4">
        <v>7.2999999999999995E-2</v>
      </c>
      <c r="L809" t="str">
        <f>IF(pg_1[[#This Row],[Salary]]&gt;=90000, "Met minimum", "Not met minimum")</f>
        <v>Not met minimum</v>
      </c>
    </row>
    <row r="810" spans="1:12" x14ac:dyDescent="0.25">
      <c r="A810" s="8">
        <v>809</v>
      </c>
      <c r="B810" s="9" t="s">
        <v>900</v>
      </c>
      <c r="C810" s="9" t="s">
        <v>7</v>
      </c>
      <c r="D810" s="9" t="s">
        <v>23</v>
      </c>
      <c r="E810" t="s">
        <v>990</v>
      </c>
      <c r="F810" s="11">
        <v>37060</v>
      </c>
      <c r="G810" s="10">
        <v>1037.68</v>
      </c>
      <c r="H810" s="10">
        <v>38097.68</v>
      </c>
      <c r="I810" s="9" t="s">
        <v>21</v>
      </c>
      <c r="J810" s="9" t="s">
        <v>28</v>
      </c>
      <c r="K810" s="4">
        <v>2.8000000000000001E-2</v>
      </c>
      <c r="L810" t="str">
        <f>IF(pg_1[[#This Row],[Salary]]&gt;=90000, "Met minimum", "Not met minimum")</f>
        <v>Not met minimum</v>
      </c>
    </row>
    <row r="811" spans="1:12" x14ac:dyDescent="0.25">
      <c r="A811" s="8">
        <v>810</v>
      </c>
      <c r="B811" s="9" t="s">
        <v>902</v>
      </c>
      <c r="C811" s="9" t="s">
        <v>12</v>
      </c>
      <c r="D811" s="9" t="s">
        <v>50</v>
      </c>
      <c r="E811" t="s">
        <v>987</v>
      </c>
      <c r="F811" s="11">
        <v>58100</v>
      </c>
      <c r="G811" s="10">
        <v>4880.4000000000005</v>
      </c>
      <c r="H811" s="10">
        <v>62980.4</v>
      </c>
      <c r="I811" s="9" t="s">
        <v>21</v>
      </c>
      <c r="J811" s="9" t="s">
        <v>10</v>
      </c>
      <c r="K811" s="4">
        <v>8.4000000000000005E-2</v>
      </c>
      <c r="L811" t="str">
        <f>IF(pg_1[[#This Row],[Salary]]&gt;=90000, "Met minimum", "Not met minimum")</f>
        <v>Not met minimum</v>
      </c>
    </row>
    <row r="812" spans="1:12" x14ac:dyDescent="0.25">
      <c r="A812" s="8">
        <v>811</v>
      </c>
      <c r="B812" s="9" t="s">
        <v>903</v>
      </c>
      <c r="C812" s="9" t="s">
        <v>7</v>
      </c>
      <c r="D812" s="9" t="s">
        <v>23</v>
      </c>
      <c r="E812" t="s">
        <v>994</v>
      </c>
      <c r="F812" s="11">
        <v>99780</v>
      </c>
      <c r="G812" s="10">
        <v>7583.28</v>
      </c>
      <c r="H812" s="10">
        <v>107363.28</v>
      </c>
      <c r="I812" s="9" t="s">
        <v>21</v>
      </c>
      <c r="J812" s="9" t="s">
        <v>10</v>
      </c>
      <c r="K812" s="4">
        <v>7.5999999999999998E-2</v>
      </c>
      <c r="L812" t="str">
        <f>IF(pg_1[[#This Row],[Salary]]&gt;=90000, "Met minimum", "Not met minimum")</f>
        <v>Met minimum</v>
      </c>
    </row>
    <row r="813" spans="1:12" x14ac:dyDescent="0.25">
      <c r="A813" s="8">
        <v>812</v>
      </c>
      <c r="B813" s="9" t="s">
        <v>904</v>
      </c>
      <c r="C813" s="9" t="s">
        <v>7</v>
      </c>
      <c r="D813" s="9" t="s">
        <v>53</v>
      </c>
      <c r="E813" t="s">
        <v>991</v>
      </c>
      <c r="F813" s="11">
        <v>119020</v>
      </c>
      <c r="G813" s="10">
        <v>1428.24</v>
      </c>
      <c r="H813" s="10">
        <v>120448.24</v>
      </c>
      <c r="I813" s="9" t="s">
        <v>9</v>
      </c>
      <c r="J813" s="9" t="s">
        <v>24</v>
      </c>
      <c r="K813" s="4">
        <v>1.2E-2</v>
      </c>
      <c r="L813" t="str">
        <f>IF(pg_1[[#This Row],[Salary]]&gt;=90000, "Met minimum", "Not met minimum")</f>
        <v>Met minimum</v>
      </c>
    </row>
    <row r="814" spans="1:12" x14ac:dyDescent="0.25">
      <c r="A814" s="8">
        <v>813</v>
      </c>
      <c r="B814" s="9" t="s">
        <v>905</v>
      </c>
      <c r="C814" s="9" t="s">
        <v>7</v>
      </c>
      <c r="D814" s="9" t="s">
        <v>13</v>
      </c>
      <c r="E814" t="s">
        <v>994</v>
      </c>
      <c r="F814" s="11">
        <v>92940</v>
      </c>
      <c r="G814" s="10">
        <v>3996.4199999999996</v>
      </c>
      <c r="H814" s="10">
        <v>96936.42</v>
      </c>
      <c r="I814" s="9" t="s">
        <v>9</v>
      </c>
      <c r="J814" s="9" t="s">
        <v>14</v>
      </c>
      <c r="K814" s="4">
        <v>4.2999999999999997E-2</v>
      </c>
      <c r="L814" t="str">
        <f>IF(pg_1[[#This Row],[Salary]]&gt;=90000, "Met minimum", "Not met minimum")</f>
        <v>Met minimum</v>
      </c>
    </row>
    <row r="815" spans="1:12" x14ac:dyDescent="0.25">
      <c r="A815" s="8">
        <v>814</v>
      </c>
      <c r="B815" s="9" t="s">
        <v>906</v>
      </c>
      <c r="C815" s="9" t="s">
        <v>7</v>
      </c>
      <c r="D815" s="9" t="s">
        <v>42</v>
      </c>
      <c r="E815" t="s">
        <v>987</v>
      </c>
      <c r="F815" s="11">
        <v>59670</v>
      </c>
      <c r="G815" s="10">
        <v>0</v>
      </c>
      <c r="H815" s="10">
        <v>59670</v>
      </c>
      <c r="I815" s="9" t="s">
        <v>21</v>
      </c>
      <c r="J815" s="9" t="s">
        <v>18</v>
      </c>
      <c r="K815" s="4">
        <v>0</v>
      </c>
      <c r="L815" t="str">
        <f>IF(pg_1[[#This Row],[Salary]]&gt;=90000, "Met minimum", "Not met minimum")</f>
        <v>Not met minimum</v>
      </c>
    </row>
    <row r="816" spans="1:12" x14ac:dyDescent="0.25">
      <c r="A816" s="8">
        <v>815</v>
      </c>
      <c r="B816" s="9" t="s">
        <v>908</v>
      </c>
      <c r="C816" s="9" t="s">
        <v>7</v>
      </c>
      <c r="D816" s="9" t="s">
        <v>67</v>
      </c>
      <c r="E816" t="s">
        <v>992</v>
      </c>
      <c r="F816" s="11">
        <v>77470</v>
      </c>
      <c r="G816" s="10">
        <v>4493.26</v>
      </c>
      <c r="H816" s="10">
        <v>81963.259999999995</v>
      </c>
      <c r="I816" s="9" t="s">
        <v>21</v>
      </c>
      <c r="J816" s="9" t="s">
        <v>14</v>
      </c>
      <c r="K816" s="4">
        <v>5.8000000000000003E-2</v>
      </c>
      <c r="L816" t="str">
        <f>IF(pg_1[[#This Row],[Salary]]&gt;=90000, "Met minimum", "Not met minimum")</f>
        <v>Not met minimum</v>
      </c>
    </row>
    <row r="817" spans="1:12" x14ac:dyDescent="0.25">
      <c r="A817" s="8">
        <v>816</v>
      </c>
      <c r="B817" s="9" t="s">
        <v>909</v>
      </c>
      <c r="C817" s="9" t="s">
        <v>7</v>
      </c>
      <c r="D817" s="9" t="s">
        <v>13</v>
      </c>
      <c r="E817" t="s">
        <v>989</v>
      </c>
      <c r="F817" s="11">
        <v>45650</v>
      </c>
      <c r="G817" s="10">
        <v>1962.9499999999998</v>
      </c>
      <c r="H817" s="10">
        <v>47612.95</v>
      </c>
      <c r="I817" s="9" t="s">
        <v>9</v>
      </c>
      <c r="J817" s="9" t="s">
        <v>14</v>
      </c>
      <c r="K817" s="4">
        <v>4.2999999999999997E-2</v>
      </c>
      <c r="L817" t="str">
        <f>IF(pg_1[[#This Row],[Salary]]&gt;=90000, "Met minimum", "Not met minimum")</f>
        <v>Not met minimum</v>
      </c>
    </row>
    <row r="818" spans="1:12" x14ac:dyDescent="0.25">
      <c r="A818" s="8">
        <v>817</v>
      </c>
      <c r="B818" s="9" t="s">
        <v>910</v>
      </c>
      <c r="C818" s="9" t="s">
        <v>12</v>
      </c>
      <c r="D818" s="9" t="s">
        <v>13</v>
      </c>
      <c r="E818" t="s">
        <v>985</v>
      </c>
      <c r="F818" s="11">
        <v>88430</v>
      </c>
      <c r="G818" s="10">
        <v>3095.05</v>
      </c>
      <c r="H818" s="10">
        <v>91525.05</v>
      </c>
      <c r="I818" s="9" t="s">
        <v>9</v>
      </c>
      <c r="J818" s="9" t="s">
        <v>28</v>
      </c>
      <c r="K818" s="4">
        <v>3.5000000000000003E-2</v>
      </c>
      <c r="L818" t="str">
        <f>IF(pg_1[[#This Row],[Salary]]&gt;=90000, "Met minimum", "Not met minimum")</f>
        <v>Not met minimum</v>
      </c>
    </row>
    <row r="819" spans="1:12" x14ac:dyDescent="0.25">
      <c r="A819" s="8">
        <v>818</v>
      </c>
      <c r="B819" s="9" t="s">
        <v>911</v>
      </c>
      <c r="C819" s="9" t="s">
        <v>7</v>
      </c>
      <c r="D819" s="9" t="s">
        <v>27</v>
      </c>
      <c r="E819" t="s">
        <v>990</v>
      </c>
      <c r="F819" s="11">
        <v>36880</v>
      </c>
      <c r="G819" s="10">
        <v>1991.52</v>
      </c>
      <c r="H819" s="10">
        <v>38871.519999999997</v>
      </c>
      <c r="I819" s="9" t="s">
        <v>21</v>
      </c>
      <c r="J819" s="9" t="s">
        <v>14</v>
      </c>
      <c r="K819" s="4">
        <v>5.3999999999999999E-2</v>
      </c>
      <c r="L819" t="str">
        <f>IF(pg_1[[#This Row],[Salary]]&gt;=90000, "Met minimum", "Not met minimum")</f>
        <v>Not met minimum</v>
      </c>
    </row>
    <row r="820" spans="1:12" x14ac:dyDescent="0.25">
      <c r="A820" s="8">
        <v>819</v>
      </c>
      <c r="B820" s="9" t="s">
        <v>912</v>
      </c>
      <c r="C820" s="9" t="s">
        <v>7</v>
      </c>
      <c r="D820" s="9" t="s">
        <v>31</v>
      </c>
      <c r="E820" t="s">
        <v>991</v>
      </c>
      <c r="F820" s="11">
        <v>111820</v>
      </c>
      <c r="G820" s="10">
        <v>8051.0399999999991</v>
      </c>
      <c r="H820" s="10">
        <v>119871.03999999999</v>
      </c>
      <c r="I820" s="9" t="s">
        <v>9</v>
      </c>
      <c r="J820" s="9" t="s">
        <v>10</v>
      </c>
      <c r="K820" s="4">
        <v>7.1999999999999995E-2</v>
      </c>
      <c r="L820" t="str">
        <f>IF(pg_1[[#This Row],[Salary]]&gt;=90000, "Met minimum", "Not met minimum")</f>
        <v>Met minimum</v>
      </c>
    </row>
    <row r="821" spans="1:12" x14ac:dyDescent="0.25">
      <c r="A821" s="8">
        <v>820</v>
      </c>
      <c r="B821" s="9" t="s">
        <v>913</v>
      </c>
      <c r="C821" s="9" t="s">
        <v>7</v>
      </c>
      <c r="D821" s="9" t="s">
        <v>27</v>
      </c>
      <c r="E821" t="s">
        <v>994</v>
      </c>
      <c r="F821" s="11">
        <v>92870</v>
      </c>
      <c r="G821" s="10">
        <v>2507.4899999999998</v>
      </c>
      <c r="H821" s="10">
        <v>95377.49</v>
      </c>
      <c r="I821" s="9" t="s">
        <v>17</v>
      </c>
      <c r="J821" s="9" t="s">
        <v>28</v>
      </c>
      <c r="K821" s="4">
        <v>2.7E-2</v>
      </c>
      <c r="L821" t="str">
        <f>IF(pg_1[[#This Row],[Salary]]&gt;=90000, "Met minimum", "Not met minimum")</f>
        <v>Met minimum</v>
      </c>
    </row>
    <row r="822" spans="1:12" x14ac:dyDescent="0.25">
      <c r="A822" s="8">
        <v>821</v>
      </c>
      <c r="B822" s="9" t="s">
        <v>914</v>
      </c>
      <c r="C822" s="9" t="s">
        <v>7</v>
      </c>
      <c r="D822" s="9" t="s">
        <v>34</v>
      </c>
      <c r="E822" t="s">
        <v>988</v>
      </c>
      <c r="F822" s="11">
        <v>100360</v>
      </c>
      <c r="G822" s="10">
        <v>2408.64</v>
      </c>
      <c r="H822" s="10">
        <v>102768.64</v>
      </c>
      <c r="I822" s="9" t="s">
        <v>9</v>
      </c>
      <c r="J822" s="9" t="s">
        <v>28</v>
      </c>
      <c r="K822" s="4">
        <v>2.4E-2</v>
      </c>
      <c r="L822" t="str">
        <f>IF(pg_1[[#This Row],[Salary]]&gt;=90000, "Met minimum", "Not met minimum")</f>
        <v>Met minimum</v>
      </c>
    </row>
    <row r="823" spans="1:12" x14ac:dyDescent="0.25">
      <c r="A823" s="8">
        <v>822</v>
      </c>
      <c r="B823" s="9" t="s">
        <v>915</v>
      </c>
      <c r="C823" s="9" t="s">
        <v>7</v>
      </c>
      <c r="D823" s="9" t="s">
        <v>34</v>
      </c>
      <c r="E823" t="s">
        <v>989</v>
      </c>
      <c r="F823" s="11">
        <v>48950</v>
      </c>
      <c r="G823" s="10">
        <v>2447.5</v>
      </c>
      <c r="H823" s="10">
        <v>51397.5</v>
      </c>
      <c r="I823" s="9" t="s">
        <v>17</v>
      </c>
      <c r="J823" s="9" t="s">
        <v>14</v>
      </c>
      <c r="K823" s="4">
        <v>0.05</v>
      </c>
      <c r="L823" t="str">
        <f>IF(pg_1[[#This Row],[Salary]]&gt;=90000, "Met minimum", "Not met minimum")</f>
        <v>Not met minimum</v>
      </c>
    </row>
    <row r="824" spans="1:12" x14ac:dyDescent="0.25">
      <c r="A824" s="8">
        <v>823</v>
      </c>
      <c r="B824" s="9" t="s">
        <v>916</v>
      </c>
      <c r="C824" s="9" t="s">
        <v>7</v>
      </c>
      <c r="D824" s="9" t="s">
        <v>8</v>
      </c>
      <c r="E824" t="s">
        <v>987</v>
      </c>
      <c r="F824" s="11">
        <v>52810</v>
      </c>
      <c r="G824" s="10">
        <v>633.72</v>
      </c>
      <c r="H824" s="10">
        <v>53443.72</v>
      </c>
      <c r="I824" s="9" t="s">
        <v>17</v>
      </c>
      <c r="J824" s="9" t="s">
        <v>24</v>
      </c>
      <c r="K824" s="4">
        <v>1.2E-2</v>
      </c>
      <c r="L824" t="str">
        <f>IF(pg_1[[#This Row],[Salary]]&gt;=90000, "Met minimum", "Not met minimum")</f>
        <v>Not met minimum</v>
      </c>
    </row>
    <row r="825" spans="1:12" x14ac:dyDescent="0.25">
      <c r="A825" s="8">
        <v>824</v>
      </c>
      <c r="B825" s="9" t="s">
        <v>917</v>
      </c>
      <c r="C825" s="9" t="s">
        <v>7</v>
      </c>
      <c r="D825" s="9" t="s">
        <v>20</v>
      </c>
      <c r="E825" t="s">
        <v>992</v>
      </c>
      <c r="F825" s="11">
        <v>78560</v>
      </c>
      <c r="G825" s="10">
        <v>392.8</v>
      </c>
      <c r="H825" s="10">
        <v>78952.800000000003</v>
      </c>
      <c r="I825" s="9" t="s">
        <v>21</v>
      </c>
      <c r="J825" s="9" t="s">
        <v>51</v>
      </c>
      <c r="K825" s="4">
        <v>5.0000000000000001E-3</v>
      </c>
      <c r="L825" t="str">
        <f>IF(pg_1[[#This Row],[Salary]]&gt;=90000, "Met minimum", "Not met minimum")</f>
        <v>Not met minimum</v>
      </c>
    </row>
    <row r="826" spans="1:12" x14ac:dyDescent="0.25">
      <c r="A826" s="8">
        <v>825</v>
      </c>
      <c r="B826" s="9" t="s">
        <v>918</v>
      </c>
      <c r="C826" s="9" t="s">
        <v>12</v>
      </c>
      <c r="D826" s="9" t="s">
        <v>23</v>
      </c>
      <c r="E826" t="s">
        <v>992</v>
      </c>
      <c r="F826" s="11">
        <v>75280</v>
      </c>
      <c r="G826" s="10">
        <v>2107.84</v>
      </c>
      <c r="H826" s="10">
        <v>77387.839999999997</v>
      </c>
      <c r="I826" s="9" t="s">
        <v>21</v>
      </c>
      <c r="J826" s="9" t="s">
        <v>28</v>
      </c>
      <c r="K826" s="4">
        <v>2.8000000000000001E-2</v>
      </c>
      <c r="L826" t="str">
        <f>IF(pg_1[[#This Row],[Salary]]&gt;=90000, "Met minimum", "Not met minimum")</f>
        <v>Not met minimum</v>
      </c>
    </row>
    <row r="827" spans="1:12" x14ac:dyDescent="0.25">
      <c r="A827" s="8">
        <v>826</v>
      </c>
      <c r="B827" s="9" t="s">
        <v>919</v>
      </c>
      <c r="C827" s="9" t="s">
        <v>12</v>
      </c>
      <c r="D827" s="9" t="s">
        <v>42</v>
      </c>
      <c r="E827" t="s">
        <v>994</v>
      </c>
      <c r="F827" s="11">
        <v>93130</v>
      </c>
      <c r="G827" s="10">
        <v>1769.47</v>
      </c>
      <c r="H827" s="10">
        <v>94899.47</v>
      </c>
      <c r="I827" s="9" t="s">
        <v>21</v>
      </c>
      <c r="J827" s="9" t="s">
        <v>24</v>
      </c>
      <c r="K827" s="4">
        <v>1.9E-2</v>
      </c>
      <c r="L827" t="str">
        <f>IF(pg_1[[#This Row],[Salary]]&gt;=90000, "Met minimum", "Not met minimum")</f>
        <v>Met minimum</v>
      </c>
    </row>
    <row r="828" spans="1:12" x14ac:dyDescent="0.25">
      <c r="A828" s="8">
        <v>827</v>
      </c>
      <c r="B828" s="9" t="s">
        <v>920</v>
      </c>
      <c r="C828" s="9" t="s">
        <v>12</v>
      </c>
      <c r="D828" s="9" t="s">
        <v>34</v>
      </c>
      <c r="E828" t="s">
        <v>988</v>
      </c>
      <c r="F828" s="11">
        <v>105290</v>
      </c>
      <c r="G828" s="10">
        <v>526.45000000000005</v>
      </c>
      <c r="H828" s="10">
        <v>105816.45</v>
      </c>
      <c r="I828" s="9" t="s">
        <v>21</v>
      </c>
      <c r="J828" s="9" t="s">
        <v>51</v>
      </c>
      <c r="K828" s="4">
        <v>5.0000000000000001E-3</v>
      </c>
      <c r="L828" t="str">
        <f>IF(pg_1[[#This Row],[Salary]]&gt;=90000, "Met minimum", "Not met minimum")</f>
        <v>Met minimum</v>
      </c>
    </row>
    <row r="829" spans="1:12" x14ac:dyDescent="0.25">
      <c r="A829" s="8">
        <v>828</v>
      </c>
      <c r="B829" s="9" t="s">
        <v>921</v>
      </c>
      <c r="C829" s="9" t="s">
        <v>7</v>
      </c>
      <c r="D829" s="9" t="s">
        <v>42</v>
      </c>
      <c r="E829" t="s">
        <v>988</v>
      </c>
      <c r="F829" s="11">
        <v>108340</v>
      </c>
      <c r="G829" s="10">
        <v>0</v>
      </c>
      <c r="H829" s="10">
        <v>108340</v>
      </c>
      <c r="I829" s="9" t="s">
        <v>21</v>
      </c>
      <c r="J829" s="9" t="s">
        <v>18</v>
      </c>
      <c r="K829" s="4">
        <v>0</v>
      </c>
      <c r="L829" t="str">
        <f>IF(pg_1[[#This Row],[Salary]]&gt;=90000, "Met minimum", "Not met minimum")</f>
        <v>Met minimum</v>
      </c>
    </row>
    <row r="830" spans="1:12" x14ac:dyDescent="0.25">
      <c r="A830" s="8">
        <v>829</v>
      </c>
      <c r="B830" s="9" t="s">
        <v>922</v>
      </c>
      <c r="C830" s="9" t="s">
        <v>7</v>
      </c>
      <c r="D830" s="9" t="s">
        <v>34</v>
      </c>
      <c r="E830" t="s">
        <v>988</v>
      </c>
      <c r="F830" s="11">
        <v>101420</v>
      </c>
      <c r="G830" s="10">
        <v>2434.08</v>
      </c>
      <c r="H830" s="10">
        <v>103854.08</v>
      </c>
      <c r="I830" s="9" t="s">
        <v>9</v>
      </c>
      <c r="J830" s="9" t="s">
        <v>28</v>
      </c>
      <c r="K830" s="4">
        <v>2.4E-2</v>
      </c>
      <c r="L830" t="str">
        <f>IF(pg_1[[#This Row],[Salary]]&gt;=90000, "Met minimum", "Not met minimum")</f>
        <v>Met minimum</v>
      </c>
    </row>
    <row r="831" spans="1:12" x14ac:dyDescent="0.25">
      <c r="A831" s="8">
        <v>830</v>
      </c>
      <c r="B831" s="9" t="s">
        <v>923</v>
      </c>
      <c r="C831" s="9" t="s">
        <v>970</v>
      </c>
      <c r="D831" s="9" t="s">
        <v>34</v>
      </c>
      <c r="E831" t="s">
        <v>987</v>
      </c>
      <c r="F831" s="11">
        <v>54780</v>
      </c>
      <c r="G831" s="10">
        <v>3998.9399999999996</v>
      </c>
      <c r="H831" s="10">
        <v>58778.94</v>
      </c>
      <c r="I831" s="9" t="s">
        <v>21</v>
      </c>
      <c r="J831" s="9" t="s">
        <v>10</v>
      </c>
      <c r="K831" s="4">
        <v>7.2999999999999995E-2</v>
      </c>
      <c r="L831" t="str">
        <f>IF(pg_1[[#This Row],[Salary]]&gt;=90000, "Met minimum", "Not met minimum")</f>
        <v>Not met minimum</v>
      </c>
    </row>
    <row r="832" spans="1:12" x14ac:dyDescent="0.25">
      <c r="A832" s="8">
        <v>831</v>
      </c>
      <c r="B832" s="9" t="s">
        <v>924</v>
      </c>
      <c r="C832" s="9" t="s">
        <v>12</v>
      </c>
      <c r="D832" s="9" t="s">
        <v>23</v>
      </c>
      <c r="E832" t="s">
        <v>986</v>
      </c>
      <c r="F832" s="11">
        <v>63560</v>
      </c>
      <c r="G832" s="10">
        <v>4830.5599999999995</v>
      </c>
      <c r="H832" s="10">
        <v>68390.559999999998</v>
      </c>
      <c r="I832" s="9" t="s">
        <v>17</v>
      </c>
      <c r="J832" s="9" t="s">
        <v>10</v>
      </c>
      <c r="K832" s="4">
        <v>7.5999999999999998E-2</v>
      </c>
      <c r="L832" t="str">
        <f>IF(pg_1[[#This Row],[Salary]]&gt;=90000, "Met minimum", "Not met minimum")</f>
        <v>Not met minimum</v>
      </c>
    </row>
    <row r="833" spans="1:12" x14ac:dyDescent="0.25">
      <c r="A833" s="8">
        <v>832</v>
      </c>
      <c r="B833" s="9" t="s">
        <v>925</v>
      </c>
      <c r="C833" s="9" t="s">
        <v>7</v>
      </c>
      <c r="D833" s="9" t="s">
        <v>50</v>
      </c>
      <c r="E833" t="s">
        <v>986</v>
      </c>
      <c r="F833" s="11">
        <v>68480</v>
      </c>
      <c r="G833" s="10">
        <v>1369.6000000000001</v>
      </c>
      <c r="H833" s="10">
        <v>69849.600000000006</v>
      </c>
      <c r="I833" s="9" t="s">
        <v>9</v>
      </c>
      <c r="J833" s="9" t="s">
        <v>24</v>
      </c>
      <c r="K833" s="4">
        <v>0.02</v>
      </c>
      <c r="L833" t="str">
        <f>IF(pg_1[[#This Row],[Salary]]&gt;=90000, "Met minimum", "Not met minimum")</f>
        <v>Not met minimum</v>
      </c>
    </row>
    <row r="834" spans="1:12" x14ac:dyDescent="0.25">
      <c r="A834" s="8">
        <v>833</v>
      </c>
      <c r="B834" s="9" t="s">
        <v>926</v>
      </c>
      <c r="C834" s="9" t="s">
        <v>7</v>
      </c>
      <c r="D834" s="9" t="s">
        <v>20</v>
      </c>
      <c r="E834" t="s">
        <v>994</v>
      </c>
      <c r="F834" s="11">
        <v>99460</v>
      </c>
      <c r="G834" s="10">
        <v>2088.6600000000003</v>
      </c>
      <c r="H834" s="10">
        <v>101548.66</v>
      </c>
      <c r="I834" s="9" t="s">
        <v>17</v>
      </c>
      <c r="J834" s="9" t="s">
        <v>28</v>
      </c>
      <c r="K834" s="4">
        <v>2.1000000000000001E-2</v>
      </c>
      <c r="L834" t="str">
        <f>IF(pg_1[[#This Row],[Salary]]&gt;=90000, "Met minimum", "Not met minimum")</f>
        <v>Met minimum</v>
      </c>
    </row>
    <row r="835" spans="1:12" x14ac:dyDescent="0.25">
      <c r="A835" s="8">
        <v>834</v>
      </c>
      <c r="B835" s="9" t="s">
        <v>927</v>
      </c>
      <c r="C835" s="9" t="s">
        <v>7</v>
      </c>
      <c r="D835" s="9" t="s">
        <v>31</v>
      </c>
      <c r="E835" t="s">
        <v>988</v>
      </c>
      <c r="F835" s="11">
        <v>100420</v>
      </c>
      <c r="G835" s="10">
        <v>1506.3</v>
      </c>
      <c r="H835" s="10">
        <v>101926.3</v>
      </c>
      <c r="I835" s="9" t="s">
        <v>17</v>
      </c>
      <c r="J835" s="9" t="s">
        <v>24</v>
      </c>
      <c r="K835" s="4">
        <v>1.4999999999999999E-2</v>
      </c>
      <c r="L835" t="str">
        <f>IF(pg_1[[#This Row],[Salary]]&gt;=90000, "Met minimum", "Not met minimum")</f>
        <v>Met minimum</v>
      </c>
    </row>
    <row r="836" spans="1:12" x14ac:dyDescent="0.25">
      <c r="A836" s="8">
        <v>835</v>
      </c>
      <c r="B836" s="9" t="s">
        <v>928</v>
      </c>
      <c r="C836" s="9" t="s">
        <v>12</v>
      </c>
      <c r="D836" s="9" t="s">
        <v>27</v>
      </c>
      <c r="E836" t="s">
        <v>990</v>
      </c>
      <c r="F836" s="11">
        <v>39650</v>
      </c>
      <c r="G836" s="10">
        <v>1070.55</v>
      </c>
      <c r="H836" s="10">
        <v>40720.550000000003</v>
      </c>
      <c r="I836" s="9" t="s">
        <v>17</v>
      </c>
      <c r="J836" s="9" t="s">
        <v>28</v>
      </c>
      <c r="K836" s="4">
        <v>2.7E-2</v>
      </c>
      <c r="L836" t="str">
        <f>IF(pg_1[[#This Row],[Salary]]&gt;=90000, "Met minimum", "Not met minimum")</f>
        <v>Not met minimum</v>
      </c>
    </row>
    <row r="837" spans="1:12" x14ac:dyDescent="0.25">
      <c r="A837" s="8">
        <v>836</v>
      </c>
      <c r="B837" s="9" t="s">
        <v>929</v>
      </c>
      <c r="C837" s="9" t="s">
        <v>12</v>
      </c>
      <c r="D837" s="9" t="s">
        <v>42</v>
      </c>
      <c r="E837" t="s">
        <v>987</v>
      </c>
      <c r="F837" s="11">
        <v>56250</v>
      </c>
      <c r="G837" s="10">
        <v>2250</v>
      </c>
      <c r="H837" s="10">
        <v>58500</v>
      </c>
      <c r="I837" s="9" t="s">
        <v>17</v>
      </c>
      <c r="J837" s="9" t="s">
        <v>28</v>
      </c>
      <c r="K837" s="4">
        <v>0.04</v>
      </c>
      <c r="L837" t="str">
        <f>IF(pg_1[[#This Row],[Salary]]&gt;=90000, "Met minimum", "Not met minimum")</f>
        <v>Not met minimum</v>
      </c>
    </row>
    <row r="838" spans="1:12" x14ac:dyDescent="0.25">
      <c r="A838" s="8">
        <v>837</v>
      </c>
      <c r="B838" s="9" t="s">
        <v>930</v>
      </c>
      <c r="C838" s="9" t="s">
        <v>12</v>
      </c>
      <c r="D838" s="9" t="s">
        <v>67</v>
      </c>
      <c r="E838" t="s">
        <v>987</v>
      </c>
      <c r="F838" s="11">
        <v>57640</v>
      </c>
      <c r="G838" s="10">
        <v>2017.4</v>
      </c>
      <c r="H838" s="10">
        <v>59657.4</v>
      </c>
      <c r="I838" s="9" t="s">
        <v>17</v>
      </c>
      <c r="J838" s="9" t="s">
        <v>28</v>
      </c>
      <c r="K838" s="4">
        <v>3.5000000000000003E-2</v>
      </c>
      <c r="L838" t="str">
        <f>IF(pg_1[[#This Row],[Salary]]&gt;=90000, "Met minimum", "Not met minimum")</f>
        <v>Not met minimum</v>
      </c>
    </row>
    <row r="839" spans="1:12" x14ac:dyDescent="0.25">
      <c r="A839" s="8">
        <v>838</v>
      </c>
      <c r="B839" s="9" t="s">
        <v>931</v>
      </c>
      <c r="C839" s="9" t="s">
        <v>7</v>
      </c>
      <c r="D839" s="9" t="s">
        <v>13</v>
      </c>
      <c r="E839" t="s">
        <v>989</v>
      </c>
      <c r="F839" s="11">
        <v>43150</v>
      </c>
      <c r="G839" s="10">
        <v>2632.15</v>
      </c>
      <c r="H839" s="10">
        <v>45782.15</v>
      </c>
      <c r="I839" s="9" t="s">
        <v>17</v>
      </c>
      <c r="J839" s="9" t="s">
        <v>10</v>
      </c>
      <c r="K839" s="4">
        <v>6.0999999999999999E-2</v>
      </c>
      <c r="L839" t="str">
        <f>IF(pg_1[[#This Row],[Salary]]&gt;=90000, "Met minimum", "Not met minimum")</f>
        <v>Not met minimum</v>
      </c>
    </row>
    <row r="840" spans="1:12" x14ac:dyDescent="0.25">
      <c r="A840" s="8">
        <v>839</v>
      </c>
      <c r="B840" s="9" t="s">
        <v>932</v>
      </c>
      <c r="C840" s="9" t="s">
        <v>12</v>
      </c>
      <c r="D840" s="9" t="s">
        <v>53</v>
      </c>
      <c r="E840" t="s">
        <v>988</v>
      </c>
      <c r="F840" s="11">
        <v>106080</v>
      </c>
      <c r="G840" s="10">
        <v>0</v>
      </c>
      <c r="H840" s="10">
        <v>106080</v>
      </c>
      <c r="I840" s="9" t="s">
        <v>17</v>
      </c>
      <c r="J840" s="9" t="s">
        <v>18</v>
      </c>
      <c r="K840" s="4">
        <v>0</v>
      </c>
      <c r="L840" t="str">
        <f>IF(pg_1[[#This Row],[Salary]]&gt;=90000, "Met minimum", "Not met minimum")</f>
        <v>Met minimum</v>
      </c>
    </row>
    <row r="841" spans="1:12" x14ac:dyDescent="0.25">
      <c r="A841" s="8">
        <v>840</v>
      </c>
      <c r="B841" s="9" t="s">
        <v>933</v>
      </c>
      <c r="C841" s="9" t="s">
        <v>7</v>
      </c>
      <c r="D841" s="9" t="s">
        <v>8</v>
      </c>
      <c r="E841" t="s">
        <v>993</v>
      </c>
      <c r="F841" s="11">
        <v>29590</v>
      </c>
      <c r="G841" s="10">
        <v>1509.09</v>
      </c>
      <c r="H841" s="10">
        <v>31099.09</v>
      </c>
      <c r="I841" s="9" t="s">
        <v>21</v>
      </c>
      <c r="J841" s="9" t="s">
        <v>14</v>
      </c>
      <c r="K841" s="4">
        <v>5.0999999999999997E-2</v>
      </c>
      <c r="L841" t="str">
        <f>IF(pg_1[[#This Row],[Salary]]&gt;=90000, "Met minimum", "Not met minimum")</f>
        <v>Not met minimum</v>
      </c>
    </row>
    <row r="842" spans="1:12" x14ac:dyDescent="0.25">
      <c r="A842" s="8">
        <v>841</v>
      </c>
      <c r="B842" s="9" t="s">
        <v>934</v>
      </c>
      <c r="C842" s="9" t="s">
        <v>12</v>
      </c>
      <c r="D842" s="9" t="s">
        <v>53</v>
      </c>
      <c r="E842" t="s">
        <v>985</v>
      </c>
      <c r="F842" s="11">
        <v>86240</v>
      </c>
      <c r="G842" s="10">
        <v>1724.8</v>
      </c>
      <c r="H842" s="10">
        <v>87964.800000000003</v>
      </c>
      <c r="I842" s="9" t="s">
        <v>9</v>
      </c>
      <c r="J842" s="9" t="s">
        <v>28</v>
      </c>
      <c r="K842" s="4">
        <v>0.02</v>
      </c>
      <c r="L842" t="str">
        <f>IF(pg_1[[#This Row],[Salary]]&gt;=90000, "Met minimum", "Not met minimum")</f>
        <v>Not met minimum</v>
      </c>
    </row>
    <row r="843" spans="1:12" x14ac:dyDescent="0.25">
      <c r="A843" s="8">
        <v>842</v>
      </c>
      <c r="B843" s="9" t="s">
        <v>935</v>
      </c>
      <c r="C843" s="9" t="s">
        <v>970</v>
      </c>
      <c r="D843" s="9" t="s">
        <v>37</v>
      </c>
      <c r="E843" t="s">
        <v>990</v>
      </c>
      <c r="F843" s="11">
        <v>36480</v>
      </c>
      <c r="G843" s="10">
        <v>1167.3600000000001</v>
      </c>
      <c r="H843" s="10">
        <v>37647.360000000001</v>
      </c>
      <c r="I843" s="9" t="s">
        <v>17</v>
      </c>
      <c r="J843" s="9" t="s">
        <v>28</v>
      </c>
      <c r="K843" s="4">
        <v>3.2000000000000001E-2</v>
      </c>
      <c r="L843" t="str">
        <f>IF(pg_1[[#This Row],[Salary]]&gt;=90000, "Met minimum", "Not met minimum")</f>
        <v>Not met minimum</v>
      </c>
    </row>
    <row r="844" spans="1:12" x14ac:dyDescent="0.25">
      <c r="A844" s="8">
        <v>843</v>
      </c>
      <c r="B844" s="9" t="s">
        <v>937</v>
      </c>
      <c r="C844" s="9" t="s">
        <v>12</v>
      </c>
      <c r="D844" s="9" t="s">
        <v>67</v>
      </c>
      <c r="E844" t="s">
        <v>989</v>
      </c>
      <c r="F844" s="11">
        <v>48590</v>
      </c>
      <c r="G844" s="10">
        <v>242.95000000000002</v>
      </c>
      <c r="H844" s="10">
        <v>48832.95</v>
      </c>
      <c r="I844" s="9" t="s">
        <v>21</v>
      </c>
      <c r="J844" s="9" t="s">
        <v>51</v>
      </c>
      <c r="K844" s="4">
        <v>5.0000000000000001E-3</v>
      </c>
      <c r="L844" t="str">
        <f>IF(pg_1[[#This Row],[Salary]]&gt;=90000, "Met minimum", "Not met minimum")</f>
        <v>Not met minimum</v>
      </c>
    </row>
    <row r="845" spans="1:12" x14ac:dyDescent="0.25">
      <c r="A845" s="8">
        <v>844</v>
      </c>
      <c r="B845" s="9" t="s">
        <v>938</v>
      </c>
      <c r="C845" s="9" t="s">
        <v>7</v>
      </c>
      <c r="D845" s="9" t="s">
        <v>13</v>
      </c>
      <c r="E845" t="s">
        <v>989</v>
      </c>
      <c r="F845" s="11">
        <v>41670</v>
      </c>
      <c r="G845" s="10">
        <v>1458.45</v>
      </c>
      <c r="H845" s="10">
        <v>43128.45</v>
      </c>
      <c r="I845" s="9" t="s">
        <v>9</v>
      </c>
      <c r="J845" s="9" t="s">
        <v>28</v>
      </c>
      <c r="K845" s="4">
        <v>3.5000000000000003E-2</v>
      </c>
      <c r="L845" t="str">
        <f>IF(pg_1[[#This Row],[Salary]]&gt;=90000, "Met minimum", "Not met minimum")</f>
        <v>Not met minimum</v>
      </c>
    </row>
    <row r="846" spans="1:12" x14ac:dyDescent="0.25">
      <c r="A846" s="8">
        <v>845</v>
      </c>
      <c r="B846" s="9" t="s">
        <v>939</v>
      </c>
      <c r="C846" s="9" t="s">
        <v>7</v>
      </c>
      <c r="D846" s="9" t="s">
        <v>50</v>
      </c>
      <c r="E846" t="s">
        <v>986</v>
      </c>
      <c r="F846" s="11">
        <v>62280</v>
      </c>
      <c r="G846" s="10">
        <v>0</v>
      </c>
      <c r="H846" s="10">
        <v>62280</v>
      </c>
      <c r="I846" s="9" t="s">
        <v>21</v>
      </c>
      <c r="J846" s="9" t="s">
        <v>18</v>
      </c>
      <c r="K846" s="4">
        <v>0</v>
      </c>
      <c r="L846" t="str">
        <f>IF(pg_1[[#This Row],[Salary]]&gt;=90000, "Met minimum", "Not met minimum")</f>
        <v>Not met minimum</v>
      </c>
    </row>
    <row r="847" spans="1:12" x14ac:dyDescent="0.25">
      <c r="A847" s="8">
        <v>846</v>
      </c>
      <c r="B847" s="9" t="s">
        <v>941</v>
      </c>
      <c r="C847" s="9" t="s">
        <v>7</v>
      </c>
      <c r="D847" s="9" t="s">
        <v>31</v>
      </c>
      <c r="E847" t="s">
        <v>994</v>
      </c>
      <c r="F847" s="11">
        <v>92010</v>
      </c>
      <c r="G847" s="10">
        <v>460.05</v>
      </c>
      <c r="H847" s="10">
        <v>92470.05</v>
      </c>
      <c r="I847" s="9" t="s">
        <v>17</v>
      </c>
      <c r="J847" s="9" t="s">
        <v>51</v>
      </c>
      <c r="K847" s="4">
        <v>5.0000000000000001E-3</v>
      </c>
      <c r="L847" t="str">
        <f>IF(pg_1[[#This Row],[Salary]]&gt;=90000, "Met minimum", "Not met minimum")</f>
        <v>Met minimum</v>
      </c>
    </row>
    <row r="848" spans="1:12" x14ac:dyDescent="0.25">
      <c r="A848" s="8">
        <v>847</v>
      </c>
      <c r="B848" s="9" t="s">
        <v>942</v>
      </c>
      <c r="C848" s="9" t="s">
        <v>12</v>
      </c>
      <c r="D848" s="9" t="s">
        <v>42</v>
      </c>
      <c r="E848" t="s">
        <v>987</v>
      </c>
      <c r="F848" s="11">
        <v>59560</v>
      </c>
      <c r="G848" s="10">
        <v>3752.28</v>
      </c>
      <c r="H848" s="10">
        <v>63312.28</v>
      </c>
      <c r="I848" s="9" t="s">
        <v>21</v>
      </c>
      <c r="J848" s="9" t="s">
        <v>10</v>
      </c>
      <c r="K848" s="4">
        <v>6.3E-2</v>
      </c>
      <c r="L848" t="str">
        <f>IF(pg_1[[#This Row],[Salary]]&gt;=90000, "Met minimum", "Not met minimum")</f>
        <v>Not met minimum</v>
      </c>
    </row>
    <row r="849" spans="1:12" x14ac:dyDescent="0.25">
      <c r="A849" s="8">
        <v>848</v>
      </c>
      <c r="B849" s="9" t="s">
        <v>943</v>
      </c>
      <c r="C849" s="9" t="s">
        <v>12</v>
      </c>
      <c r="D849" s="9" t="s">
        <v>13</v>
      </c>
      <c r="E849" t="s">
        <v>991</v>
      </c>
      <c r="F849" s="11">
        <v>114810</v>
      </c>
      <c r="G849" s="10">
        <v>4018.3500000000004</v>
      </c>
      <c r="H849" s="10">
        <v>118828.35</v>
      </c>
      <c r="I849" s="9" t="s">
        <v>21</v>
      </c>
      <c r="J849" s="9" t="s">
        <v>28</v>
      </c>
      <c r="K849" s="4">
        <v>3.5000000000000003E-2</v>
      </c>
      <c r="L849" t="str">
        <f>IF(pg_1[[#This Row],[Salary]]&gt;=90000, "Met minimum", "Not met minimum")</f>
        <v>Met minimum</v>
      </c>
    </row>
    <row r="850" spans="1:12" x14ac:dyDescent="0.25">
      <c r="A850" s="8">
        <v>849</v>
      </c>
      <c r="B850" s="9" t="s">
        <v>944</v>
      </c>
      <c r="C850" s="9" t="s">
        <v>12</v>
      </c>
      <c r="D850" s="9" t="s">
        <v>37</v>
      </c>
      <c r="E850" t="s">
        <v>986</v>
      </c>
      <c r="F850" s="11">
        <v>66870</v>
      </c>
      <c r="G850" s="10">
        <v>0</v>
      </c>
      <c r="H850" s="10">
        <v>66870</v>
      </c>
      <c r="I850" s="9" t="s">
        <v>17</v>
      </c>
      <c r="J850" s="9" t="s">
        <v>18</v>
      </c>
      <c r="K850" s="4">
        <v>0</v>
      </c>
      <c r="L850" t="str">
        <f>IF(pg_1[[#This Row],[Salary]]&gt;=90000, "Met minimum", "Not met minimum")</f>
        <v>Not met minimum</v>
      </c>
    </row>
    <row r="851" spans="1:12" x14ac:dyDescent="0.25">
      <c r="A851" s="8">
        <v>850</v>
      </c>
      <c r="B851" s="9" t="s">
        <v>945</v>
      </c>
      <c r="C851" s="9" t="s">
        <v>7</v>
      </c>
      <c r="D851" s="9" t="s">
        <v>27</v>
      </c>
      <c r="E851" t="s">
        <v>991</v>
      </c>
      <c r="F851" s="11">
        <v>113790</v>
      </c>
      <c r="G851" s="10">
        <v>568.95000000000005</v>
      </c>
      <c r="H851" s="10">
        <v>114358.95</v>
      </c>
      <c r="I851" s="9" t="s">
        <v>21</v>
      </c>
      <c r="J851" s="9" t="s">
        <v>51</v>
      </c>
      <c r="K851" s="4">
        <v>5.0000000000000001E-3</v>
      </c>
      <c r="L851" t="str">
        <f>IF(pg_1[[#This Row],[Salary]]&gt;=90000, "Met minimum", "Not met minimum")</f>
        <v>Met minimum</v>
      </c>
    </row>
    <row r="852" spans="1:12" x14ac:dyDescent="0.25">
      <c r="A852" s="8">
        <v>851</v>
      </c>
      <c r="B852" s="9" t="s">
        <v>946</v>
      </c>
      <c r="C852" s="9" t="s">
        <v>12</v>
      </c>
      <c r="D852" s="9" t="s">
        <v>20</v>
      </c>
      <c r="E852" t="s">
        <v>990</v>
      </c>
      <c r="F852" s="11">
        <v>38250</v>
      </c>
      <c r="G852" s="10">
        <v>803.25</v>
      </c>
      <c r="H852" s="10">
        <v>39053.25</v>
      </c>
      <c r="I852" s="9" t="s">
        <v>21</v>
      </c>
      <c r="J852" s="9" t="s">
        <v>28</v>
      </c>
      <c r="K852" s="4">
        <v>2.1000000000000001E-2</v>
      </c>
      <c r="L852" t="str">
        <f>IF(pg_1[[#This Row],[Salary]]&gt;=90000, "Met minimum", "Not met minimum")</f>
        <v>Not met minimum</v>
      </c>
    </row>
    <row r="853" spans="1:12" x14ac:dyDescent="0.25">
      <c r="A853" s="8">
        <v>852</v>
      </c>
      <c r="B853" s="9" t="s">
        <v>947</v>
      </c>
      <c r="C853" s="9" t="s">
        <v>970</v>
      </c>
      <c r="D853" s="9" t="s">
        <v>23</v>
      </c>
      <c r="E853" t="s">
        <v>989</v>
      </c>
      <c r="F853" s="11">
        <v>48090</v>
      </c>
      <c r="G853" s="10">
        <v>0</v>
      </c>
      <c r="H853" s="10">
        <v>48090</v>
      </c>
      <c r="I853" s="9" t="s">
        <v>17</v>
      </c>
      <c r="J853" s="9" t="s">
        <v>18</v>
      </c>
      <c r="K853" s="4">
        <v>0</v>
      </c>
      <c r="L853" t="str">
        <f>IF(pg_1[[#This Row],[Salary]]&gt;=90000, "Met minimum", "Not met minimum")</f>
        <v>Not met minimum</v>
      </c>
    </row>
    <row r="854" spans="1:12" x14ac:dyDescent="0.25">
      <c r="A854" s="8">
        <v>853</v>
      </c>
      <c r="B854" s="9" t="s">
        <v>948</v>
      </c>
      <c r="C854" s="9" t="s">
        <v>7</v>
      </c>
      <c r="D854" s="9" t="s">
        <v>53</v>
      </c>
      <c r="E854" t="s">
        <v>994</v>
      </c>
      <c r="F854" s="11">
        <v>99630</v>
      </c>
      <c r="G854" s="10">
        <v>1992.6000000000001</v>
      </c>
      <c r="H854" s="10">
        <v>101622.6</v>
      </c>
      <c r="I854" s="9" t="s">
        <v>17</v>
      </c>
      <c r="J854" s="9" t="s">
        <v>28</v>
      </c>
      <c r="K854" s="4">
        <v>0.02</v>
      </c>
      <c r="L854" t="str">
        <f>IF(pg_1[[#This Row],[Salary]]&gt;=90000, "Met minimum", "Not met minimum")</f>
        <v>Met minimum</v>
      </c>
    </row>
    <row r="855" spans="1:12" x14ac:dyDescent="0.25">
      <c r="A855" s="8">
        <v>854</v>
      </c>
      <c r="B855" s="9" t="s">
        <v>949</v>
      </c>
      <c r="C855" s="9" t="s">
        <v>12</v>
      </c>
      <c r="D855" s="9" t="s">
        <v>37</v>
      </c>
      <c r="E855" t="s">
        <v>985</v>
      </c>
      <c r="F855" s="11">
        <v>86340</v>
      </c>
      <c r="G855" s="10">
        <v>863.4</v>
      </c>
      <c r="H855" s="10">
        <v>87203.4</v>
      </c>
      <c r="I855" s="9" t="s">
        <v>17</v>
      </c>
      <c r="J855" s="9" t="s">
        <v>24</v>
      </c>
      <c r="K855" s="4">
        <v>0.01</v>
      </c>
      <c r="L855" t="str">
        <f>IF(pg_1[[#This Row],[Salary]]&gt;=90000, "Met minimum", "Not met minimum")</f>
        <v>Not met minimum</v>
      </c>
    </row>
    <row r="856" spans="1:12" x14ac:dyDescent="0.25">
      <c r="A856" s="8">
        <v>855</v>
      </c>
      <c r="B856" s="9" t="s">
        <v>950</v>
      </c>
      <c r="C856" s="9" t="s">
        <v>970</v>
      </c>
      <c r="D856" s="9" t="s">
        <v>8</v>
      </c>
      <c r="E856" t="s">
        <v>985</v>
      </c>
      <c r="F856" s="11">
        <v>88590</v>
      </c>
      <c r="G856" s="10">
        <v>1860.39</v>
      </c>
      <c r="H856" s="10">
        <v>90450.39</v>
      </c>
      <c r="I856" s="9" t="s">
        <v>17</v>
      </c>
      <c r="J856" s="9" t="s">
        <v>28</v>
      </c>
      <c r="K856" s="4">
        <v>2.1000000000000001E-2</v>
      </c>
      <c r="L856" t="str">
        <f>IF(pg_1[[#This Row],[Salary]]&gt;=90000, "Met minimum", "Not met minimum")</f>
        <v>Not met minimum</v>
      </c>
    </row>
    <row r="857" spans="1:12" x14ac:dyDescent="0.25">
      <c r="A857" s="8">
        <v>856</v>
      </c>
      <c r="B857" s="9" t="s">
        <v>951</v>
      </c>
      <c r="C857" s="9" t="s">
        <v>7</v>
      </c>
      <c r="D857" s="9" t="s">
        <v>23</v>
      </c>
      <c r="E857" t="s">
        <v>986</v>
      </c>
      <c r="F857" s="11">
        <v>61100</v>
      </c>
      <c r="G857" s="10">
        <v>1710.8</v>
      </c>
      <c r="H857" s="10">
        <v>62810.8</v>
      </c>
      <c r="I857" s="9" t="s">
        <v>21</v>
      </c>
      <c r="J857" s="9" t="s">
        <v>28</v>
      </c>
      <c r="K857" s="4">
        <v>2.8000000000000001E-2</v>
      </c>
      <c r="L857" t="str">
        <f>IF(pg_1[[#This Row],[Salary]]&gt;=90000, "Met minimum", "Not met minimum")</f>
        <v>Not met minimum</v>
      </c>
    </row>
    <row r="858" spans="1:12" x14ac:dyDescent="0.25">
      <c r="A858" s="8">
        <v>857</v>
      </c>
      <c r="B858" s="9" t="s">
        <v>952</v>
      </c>
      <c r="C858" s="9" t="s">
        <v>7</v>
      </c>
      <c r="D858" s="9" t="s">
        <v>37</v>
      </c>
      <c r="E858" t="s">
        <v>992</v>
      </c>
      <c r="F858" s="11">
        <v>71240</v>
      </c>
      <c r="G858" s="10">
        <v>2279.6799999999998</v>
      </c>
      <c r="H858" s="10">
        <v>73519.679999999993</v>
      </c>
      <c r="I858" s="9" t="s">
        <v>17</v>
      </c>
      <c r="J858" s="9" t="s">
        <v>28</v>
      </c>
      <c r="K858" s="4">
        <v>3.2000000000000001E-2</v>
      </c>
      <c r="L858" t="str">
        <f>IF(pg_1[[#This Row],[Salary]]&gt;=90000, "Met minimum", "Not met minimum")</f>
        <v>Not met minimum</v>
      </c>
    </row>
    <row r="859" spans="1:12" x14ac:dyDescent="0.25">
      <c r="A859" s="8">
        <v>858</v>
      </c>
      <c r="B859" s="9" t="s">
        <v>953</v>
      </c>
      <c r="C859" s="9" t="s">
        <v>7</v>
      </c>
      <c r="D859" s="9" t="s">
        <v>8</v>
      </c>
      <c r="E859" t="s">
        <v>991</v>
      </c>
      <c r="F859" s="11">
        <v>114650</v>
      </c>
      <c r="G859" s="10">
        <v>573.25</v>
      </c>
      <c r="H859" s="10">
        <v>115223.25</v>
      </c>
      <c r="I859" s="9" t="s">
        <v>21</v>
      </c>
      <c r="J859" s="9" t="s">
        <v>51</v>
      </c>
      <c r="K859" s="4">
        <v>5.0000000000000001E-3</v>
      </c>
      <c r="L859" t="str">
        <f>IF(pg_1[[#This Row],[Salary]]&gt;=90000, "Met minimum", "Not met minimum")</f>
        <v>Met minimum</v>
      </c>
    </row>
    <row r="860" spans="1:12" x14ac:dyDescent="0.25">
      <c r="A860" s="8">
        <v>859</v>
      </c>
      <c r="B860" s="9" t="s">
        <v>954</v>
      </c>
      <c r="C860" s="9" t="s">
        <v>12</v>
      </c>
      <c r="D860" s="9" t="s">
        <v>27</v>
      </c>
      <c r="E860" t="s">
        <v>992</v>
      </c>
      <c r="F860" s="11">
        <v>76900</v>
      </c>
      <c r="G860" s="10">
        <v>5844.4</v>
      </c>
      <c r="H860" s="10">
        <v>82744.399999999994</v>
      </c>
      <c r="I860" s="9" t="s">
        <v>17</v>
      </c>
      <c r="J860" s="9" t="s">
        <v>10</v>
      </c>
      <c r="K860" s="4">
        <v>7.5999999999999998E-2</v>
      </c>
      <c r="L860" t="str">
        <f>IF(pg_1[[#This Row],[Salary]]&gt;=90000, "Met minimum", "Not met minimum")</f>
        <v>Not met minimum</v>
      </c>
    </row>
    <row r="861" spans="1:12" x14ac:dyDescent="0.25">
      <c r="A861" s="8">
        <v>860</v>
      </c>
      <c r="B861" s="9" t="s">
        <v>955</v>
      </c>
      <c r="C861" s="9" t="s">
        <v>12</v>
      </c>
      <c r="D861" s="9" t="s">
        <v>34</v>
      </c>
      <c r="E861" t="s">
        <v>991</v>
      </c>
      <c r="F861" s="11">
        <v>116590</v>
      </c>
      <c r="G861" s="10">
        <v>8511.07</v>
      </c>
      <c r="H861" s="10">
        <v>125101.07</v>
      </c>
      <c r="I861" s="9" t="s">
        <v>9</v>
      </c>
      <c r="J861" s="9" t="s">
        <v>10</v>
      </c>
      <c r="K861" s="4">
        <v>7.2999999999999995E-2</v>
      </c>
      <c r="L861" t="str">
        <f>IF(pg_1[[#This Row],[Salary]]&gt;=90000, "Met minimum", "Not met minimum")</f>
        <v>Met minimum</v>
      </c>
    </row>
    <row r="862" spans="1:12" x14ac:dyDescent="0.25">
      <c r="A862" s="8">
        <v>861</v>
      </c>
      <c r="B862" s="9" t="s">
        <v>956</v>
      </c>
      <c r="C862" s="9" t="s">
        <v>12</v>
      </c>
      <c r="D862" s="9" t="s">
        <v>13</v>
      </c>
      <c r="E862" t="s">
        <v>992</v>
      </c>
      <c r="F862" s="11">
        <v>78390</v>
      </c>
      <c r="G862" s="10">
        <v>2743.65</v>
      </c>
      <c r="H862" s="10">
        <v>81133.649999999994</v>
      </c>
      <c r="I862" s="9" t="s">
        <v>17</v>
      </c>
      <c r="J862" s="9" t="s">
        <v>28</v>
      </c>
      <c r="K862" s="4">
        <v>3.5000000000000003E-2</v>
      </c>
      <c r="L862" t="str">
        <f>IF(pg_1[[#This Row],[Salary]]&gt;=90000, "Met minimum", "Not met minimum")</f>
        <v>Not met minimum</v>
      </c>
    </row>
    <row r="863" spans="1:12" x14ac:dyDescent="0.25">
      <c r="A863" s="8">
        <v>862</v>
      </c>
      <c r="B863" s="9" t="s">
        <v>957</v>
      </c>
      <c r="C863" s="9" t="s">
        <v>12</v>
      </c>
      <c r="D863" s="9" t="s">
        <v>53</v>
      </c>
      <c r="E863" t="s">
        <v>988</v>
      </c>
      <c r="F863" s="11">
        <v>103610</v>
      </c>
      <c r="G863" s="10">
        <v>1243.32</v>
      </c>
      <c r="H863" s="10">
        <v>104853.32</v>
      </c>
      <c r="I863" s="9" t="s">
        <v>21</v>
      </c>
      <c r="J863" s="9" t="s">
        <v>24</v>
      </c>
      <c r="K863" s="4">
        <v>1.2E-2</v>
      </c>
      <c r="L863" t="str">
        <f>IF(pg_1[[#This Row],[Salary]]&gt;=90000, "Met minimum", "Not met minimum")</f>
        <v>Met minimum</v>
      </c>
    </row>
    <row r="864" spans="1:12" x14ac:dyDescent="0.25">
      <c r="A864" s="8">
        <v>863</v>
      </c>
      <c r="B864" s="9" t="s">
        <v>958</v>
      </c>
      <c r="C864" s="9" t="s">
        <v>7</v>
      </c>
      <c r="D864" s="9" t="s">
        <v>13</v>
      </c>
      <c r="E864" t="s">
        <v>994</v>
      </c>
      <c r="F864" s="11">
        <v>98110</v>
      </c>
      <c r="G864" s="10">
        <v>4218.7299999999996</v>
      </c>
      <c r="H864" s="10">
        <v>102328.73</v>
      </c>
      <c r="I864" s="9" t="s">
        <v>17</v>
      </c>
      <c r="J864" s="9" t="s">
        <v>14</v>
      </c>
      <c r="K864" s="4">
        <v>4.2999999999999997E-2</v>
      </c>
      <c r="L864" t="str">
        <f>IF(pg_1[[#This Row],[Salary]]&gt;=90000, "Met minimum", "Not met minimum")</f>
        <v>Met minimum</v>
      </c>
    </row>
    <row r="865" spans="1:12" x14ac:dyDescent="0.25">
      <c r="A865" s="8">
        <v>864</v>
      </c>
      <c r="B865" s="9" t="s">
        <v>959</v>
      </c>
      <c r="C865" s="9" t="s">
        <v>12</v>
      </c>
      <c r="D865" s="9" t="s">
        <v>27</v>
      </c>
      <c r="E865" t="s">
        <v>990</v>
      </c>
      <c r="F865" s="11">
        <v>33960</v>
      </c>
      <c r="G865" s="10">
        <v>0</v>
      </c>
      <c r="H865" s="10">
        <v>33960</v>
      </c>
      <c r="I865" s="9" t="s">
        <v>9</v>
      </c>
      <c r="J865" s="9" t="s">
        <v>18</v>
      </c>
      <c r="K865" s="4">
        <v>0</v>
      </c>
      <c r="L865" t="str">
        <f>IF(pg_1[[#This Row],[Salary]]&gt;=90000, "Met minimum", "Not met minimum")</f>
        <v>Not met minimum</v>
      </c>
    </row>
    <row r="866" spans="1:12" x14ac:dyDescent="0.25">
      <c r="A866" s="8">
        <v>865</v>
      </c>
      <c r="B866" s="9" t="s">
        <v>960</v>
      </c>
      <c r="C866" s="9" t="s">
        <v>7</v>
      </c>
      <c r="D866" s="9" t="s">
        <v>34</v>
      </c>
      <c r="E866" t="s">
        <v>991</v>
      </c>
      <c r="F866" s="11">
        <v>112110</v>
      </c>
      <c r="G866" s="10">
        <v>0</v>
      </c>
      <c r="H866" s="10">
        <v>112110</v>
      </c>
      <c r="I866" s="9" t="s">
        <v>21</v>
      </c>
      <c r="J866" s="9" t="s">
        <v>18</v>
      </c>
      <c r="K866" s="4">
        <v>0</v>
      </c>
      <c r="L866" t="str">
        <f>IF(pg_1[[#This Row],[Salary]]&gt;=90000, "Met minimum", "Not met minimum")</f>
        <v>Met minimum</v>
      </c>
    </row>
    <row r="867" spans="1:12" x14ac:dyDescent="0.25">
      <c r="A867" s="8">
        <v>866</v>
      </c>
      <c r="B867" s="9" t="s">
        <v>961</v>
      </c>
      <c r="C867" s="9" t="s">
        <v>970</v>
      </c>
      <c r="D867" s="9" t="s">
        <v>42</v>
      </c>
      <c r="E867" t="s">
        <v>994</v>
      </c>
      <c r="F867" s="11">
        <v>91310</v>
      </c>
      <c r="G867" s="10">
        <v>3652.4</v>
      </c>
      <c r="H867" s="10">
        <v>94962.4</v>
      </c>
      <c r="I867" s="9" t="s">
        <v>21</v>
      </c>
      <c r="J867" s="9" t="s">
        <v>28</v>
      </c>
      <c r="K867" s="4">
        <v>0.04</v>
      </c>
      <c r="L867" t="str">
        <f>IF(pg_1[[#This Row],[Salary]]&gt;=90000, "Met minimum", "Not met minimum")</f>
        <v>Met minimum</v>
      </c>
    </row>
    <row r="868" spans="1:12" x14ac:dyDescent="0.25">
      <c r="A868" s="8">
        <v>867</v>
      </c>
      <c r="B868" s="9" t="s">
        <v>962</v>
      </c>
      <c r="C868" s="9" t="s">
        <v>7</v>
      </c>
      <c r="D868" s="9" t="s">
        <v>34</v>
      </c>
      <c r="E868" t="s">
        <v>992</v>
      </c>
      <c r="F868" s="11">
        <v>71370</v>
      </c>
      <c r="G868" s="10">
        <v>1712.88</v>
      </c>
      <c r="H868" s="10">
        <v>73082.880000000005</v>
      </c>
      <c r="I868" s="9" t="s">
        <v>9</v>
      </c>
      <c r="J868" s="9" t="s">
        <v>28</v>
      </c>
      <c r="K868" s="4">
        <v>2.4E-2</v>
      </c>
      <c r="L868" t="str">
        <f>IF(pg_1[[#This Row],[Salary]]&gt;=90000, "Met minimum", "Not met minimum")</f>
        <v>Not met minimum</v>
      </c>
    </row>
    <row r="869" spans="1:12" x14ac:dyDescent="0.25">
      <c r="A869" s="8">
        <v>868</v>
      </c>
      <c r="B869" s="9" t="s">
        <v>963</v>
      </c>
      <c r="C869" s="9" t="s">
        <v>12</v>
      </c>
      <c r="D869" s="9" t="s">
        <v>42</v>
      </c>
      <c r="E869" t="s">
        <v>992</v>
      </c>
      <c r="F869" s="11">
        <v>71570</v>
      </c>
      <c r="G869" s="10">
        <v>0</v>
      </c>
      <c r="H869" s="10">
        <v>71570</v>
      </c>
      <c r="I869" s="9" t="s">
        <v>17</v>
      </c>
      <c r="J869" s="9" t="s">
        <v>18</v>
      </c>
      <c r="K869" s="4">
        <v>0</v>
      </c>
      <c r="L869" t="str">
        <f>IF(pg_1[[#This Row],[Salary]]&gt;=90000, "Met minimum", "Not met minimum")</f>
        <v>Not met minimum</v>
      </c>
    </row>
    <row r="870" spans="1:12" x14ac:dyDescent="0.25">
      <c r="A870" s="8">
        <v>869</v>
      </c>
      <c r="B870" s="9" t="s">
        <v>964</v>
      </c>
      <c r="C870" s="9" t="s">
        <v>12</v>
      </c>
      <c r="D870" s="9" t="s">
        <v>67</v>
      </c>
      <c r="E870" t="s">
        <v>986</v>
      </c>
      <c r="F870" s="11">
        <v>67910</v>
      </c>
      <c r="G870" s="10">
        <v>2376.8500000000004</v>
      </c>
      <c r="H870" s="10">
        <v>70286.850000000006</v>
      </c>
      <c r="I870" s="9" t="s">
        <v>21</v>
      </c>
      <c r="J870" s="9" t="s">
        <v>28</v>
      </c>
      <c r="K870" s="4">
        <v>3.5000000000000003E-2</v>
      </c>
      <c r="L870" t="str">
        <f>IF(pg_1[[#This Row],[Salary]]&gt;=90000, "Met minimum", "Not met minimum")</f>
        <v>Not met minimum</v>
      </c>
    </row>
    <row r="871" spans="1:12" x14ac:dyDescent="0.25">
      <c r="A871" s="8">
        <v>870</v>
      </c>
      <c r="B871" s="9" t="s">
        <v>965</v>
      </c>
      <c r="C871" s="9" t="s">
        <v>12</v>
      </c>
      <c r="D871" s="9" t="s">
        <v>23</v>
      </c>
      <c r="E871" t="s">
        <v>988</v>
      </c>
      <c r="F871" s="11">
        <v>100370</v>
      </c>
      <c r="G871" s="10">
        <v>2810.36</v>
      </c>
      <c r="H871" s="10">
        <v>103180.36</v>
      </c>
      <c r="I871" s="9" t="s">
        <v>17</v>
      </c>
      <c r="J871" s="9" t="s">
        <v>28</v>
      </c>
      <c r="K871" s="4">
        <v>2.8000000000000001E-2</v>
      </c>
      <c r="L871" t="str">
        <f>IF(pg_1[[#This Row],[Salary]]&gt;=90000, "Met minimum", "Not met minimum")</f>
        <v>Met minimum</v>
      </c>
    </row>
    <row r="872" spans="1:12" x14ac:dyDescent="0.25">
      <c r="A872" s="8">
        <v>871</v>
      </c>
      <c r="B872" s="9" t="s">
        <v>966</v>
      </c>
      <c r="C872" s="9" t="s">
        <v>12</v>
      </c>
      <c r="D872" s="9" t="s">
        <v>34</v>
      </c>
      <c r="E872" t="s">
        <v>994</v>
      </c>
      <c r="F872" s="11">
        <v>90240</v>
      </c>
      <c r="G872" s="10">
        <v>1624.32</v>
      </c>
      <c r="H872" s="10">
        <v>91864.320000000007</v>
      </c>
      <c r="I872" s="9" t="s">
        <v>17</v>
      </c>
      <c r="J872" s="9" t="s">
        <v>24</v>
      </c>
      <c r="K872" s="4">
        <v>1.7999999999999999E-2</v>
      </c>
      <c r="L872" t="str">
        <f>IF(pg_1[[#This Row],[Salary]]&gt;=90000, "Met minimum", "Not met minimum")</f>
        <v>Met minimum</v>
      </c>
    </row>
    <row r="873" spans="1:12" x14ac:dyDescent="0.25">
      <c r="A873" s="8">
        <v>872</v>
      </c>
      <c r="B873" s="9" t="s">
        <v>967</v>
      </c>
      <c r="C873" s="9" t="s">
        <v>12</v>
      </c>
      <c r="D873" s="9" t="s">
        <v>13</v>
      </c>
      <c r="E873" t="s">
        <v>992</v>
      </c>
      <c r="F873" s="11">
        <v>75870</v>
      </c>
      <c r="G873" s="10">
        <v>2655.4500000000003</v>
      </c>
      <c r="H873" s="10">
        <v>78525.45</v>
      </c>
      <c r="I873" s="9" t="s">
        <v>21</v>
      </c>
      <c r="J873" s="9" t="s">
        <v>28</v>
      </c>
      <c r="K873" s="4">
        <v>3.5000000000000003E-2</v>
      </c>
      <c r="L873" t="str">
        <f>IF(pg_1[[#This Row],[Salary]]&gt;=90000, "Met minimum", "Not met minimum")</f>
        <v>Not met minimum</v>
      </c>
    </row>
    <row r="874" spans="1:12" x14ac:dyDescent="0.25">
      <c r="A874" s="8">
        <v>873</v>
      </c>
      <c r="B874" s="9" t="s">
        <v>968</v>
      </c>
      <c r="C874" s="9" t="s">
        <v>12</v>
      </c>
      <c r="D874" s="9" t="s">
        <v>42</v>
      </c>
      <c r="E874" t="s">
        <v>987</v>
      </c>
      <c r="F874" s="11">
        <v>58740</v>
      </c>
      <c r="G874" s="10">
        <v>0</v>
      </c>
      <c r="H874" s="10">
        <v>58740</v>
      </c>
      <c r="I874" s="9" t="s">
        <v>21</v>
      </c>
      <c r="J874" s="9" t="s">
        <v>18</v>
      </c>
      <c r="K874" s="4">
        <v>0</v>
      </c>
      <c r="L874" t="str">
        <f>IF(pg_1[[#This Row],[Salary]]&gt;=90000, "Met minimum", "Not met minimum")</f>
        <v>Not met minimum</v>
      </c>
    </row>
    <row r="875" spans="1:12" x14ac:dyDescent="0.25">
      <c r="A875" s="8">
        <v>874</v>
      </c>
      <c r="B875" s="9" t="s">
        <v>969</v>
      </c>
      <c r="C875" s="9" t="s">
        <v>12</v>
      </c>
      <c r="D875" s="9" t="s">
        <v>20</v>
      </c>
      <c r="E875" t="s">
        <v>990</v>
      </c>
      <c r="F875" s="11">
        <v>32500</v>
      </c>
      <c r="G875" s="10">
        <v>682.5</v>
      </c>
      <c r="H875" s="10">
        <v>33182.5</v>
      </c>
      <c r="I875" s="9" t="s">
        <v>9</v>
      </c>
      <c r="J875" s="9" t="s">
        <v>28</v>
      </c>
      <c r="K875" s="4">
        <v>2.1000000000000001E-2</v>
      </c>
      <c r="L875" t="str">
        <f>IF(pg_1[[#This Row],[Salary]]&gt;=90000, "Met minimum", "Not met minimum")</f>
        <v>Not met minimum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2007-623E-482B-91F5-F118A5739657}">
  <sheetPr>
    <tabColor theme="7"/>
  </sheetPr>
  <dimension ref="A1:N15"/>
  <sheetViews>
    <sheetView workbookViewId="0">
      <selection activeCell="C15" sqref="C15"/>
    </sheetView>
  </sheetViews>
  <sheetFormatPr defaultRowHeight="15" x14ac:dyDescent="0.25"/>
  <cols>
    <col min="1" max="1" width="14.28515625" bestFit="1" customWidth="1"/>
    <col min="2" max="2" width="21" bestFit="1" customWidth="1"/>
    <col min="3" max="3" width="17.7109375" customWidth="1"/>
    <col min="4" max="4" width="29.140625" bestFit="1" customWidth="1"/>
    <col min="5" max="5" width="18.140625" bestFit="1" customWidth="1"/>
    <col min="6" max="6" width="11.140625" bestFit="1" customWidth="1"/>
    <col min="7" max="7" width="26.140625" bestFit="1" customWidth="1"/>
    <col min="8" max="8" width="18" customWidth="1"/>
    <col min="10" max="10" width="19" bestFit="1" customWidth="1"/>
    <col min="11" max="11" width="17.7109375" customWidth="1"/>
    <col min="12" max="12" width="17.5703125" bestFit="1" customWidth="1"/>
    <col min="13" max="13" width="29.42578125" bestFit="1" customWidth="1"/>
    <col min="14" max="14" width="25.28515625" bestFit="1" customWidth="1"/>
  </cols>
  <sheetData>
    <row r="1" spans="1:14" x14ac:dyDescent="0.25">
      <c r="A1" t="s">
        <v>1006</v>
      </c>
      <c r="D1" t="s">
        <v>1007</v>
      </c>
      <c r="G1" t="s">
        <v>1008</v>
      </c>
      <c r="J1" t="s">
        <v>973</v>
      </c>
      <c r="M1" t="s">
        <v>1009</v>
      </c>
    </row>
    <row r="2" spans="1:14" x14ac:dyDescent="0.25">
      <c r="A2" t="s">
        <v>980</v>
      </c>
      <c r="D2" t="s">
        <v>1013</v>
      </c>
      <c r="G2" t="s">
        <v>1014</v>
      </c>
      <c r="J2" t="s">
        <v>982</v>
      </c>
      <c r="M2" t="s">
        <v>1001</v>
      </c>
    </row>
    <row r="3" spans="1:14" x14ac:dyDescent="0.25">
      <c r="A3">
        <v>874</v>
      </c>
      <c r="B3">
        <f>GETPIVOTDATA("[Measures].[Distinct Count of S/N]",$A$2)</f>
        <v>874</v>
      </c>
      <c r="D3">
        <v>12</v>
      </c>
      <c r="E3">
        <f>GETPIVOTDATA("[Measures].[Distinct Count of Department]",$D$2)</f>
        <v>12</v>
      </c>
      <c r="G3">
        <v>3</v>
      </c>
      <c r="H3">
        <f>GETPIVOTDATA("[Measures].[Distinct Count of Location]",$G$2)</f>
        <v>3</v>
      </c>
      <c r="J3">
        <v>64528740</v>
      </c>
      <c r="K3" s="11">
        <f>GETPIVOTDATA("[Measures].[Sum of Salary]",$J$2)</f>
        <v>64528740</v>
      </c>
      <c r="M3">
        <v>2031197.9700000004</v>
      </c>
      <c r="N3" s="10">
        <f>GETPIVOTDATA("[Measures].[Sum of Bonus]",$M$2)</f>
        <v>2031197.9700000004</v>
      </c>
    </row>
    <row r="6" spans="1:14" x14ac:dyDescent="0.25">
      <c r="A6" t="s">
        <v>1011</v>
      </c>
      <c r="J6" t="s">
        <v>1012</v>
      </c>
      <c r="M6" t="s">
        <v>1010</v>
      </c>
    </row>
    <row r="7" spans="1:14" x14ac:dyDescent="0.25">
      <c r="A7" s="6" t="s">
        <v>976</v>
      </c>
      <c r="B7" t="s">
        <v>980</v>
      </c>
      <c r="J7" t="s">
        <v>997</v>
      </c>
      <c r="M7" t="s">
        <v>1003</v>
      </c>
    </row>
    <row r="8" spans="1:14" x14ac:dyDescent="0.25">
      <c r="A8" s="7" t="s">
        <v>12</v>
      </c>
      <c r="B8" s="5">
        <v>0.46453089244851259</v>
      </c>
      <c r="C8" s="4">
        <f>GETPIVOTDATA("[Measures].[Distinct Count of S/N]",$A$7,"[pg].[Gender]","[pg].[Gender].&amp;[Female]")</f>
        <v>0.46453089244851259</v>
      </c>
      <c r="E8" t="s">
        <v>998</v>
      </c>
      <c r="J8">
        <v>66559937.970000096</v>
      </c>
      <c r="K8" s="10">
        <f>GETPIVOTDATA("[Measures].[Sum of Total salary]",$J$7)</f>
        <v>66559937.970000096</v>
      </c>
      <c r="M8" s="5">
        <v>3.1375286041189936E-2</v>
      </c>
      <c r="N8" s="4">
        <f>GETPIVOTDATA("[Measures].[Average of Bonus percentage]",$M$7)</f>
        <v>3.1375286041189936E-2</v>
      </c>
    </row>
    <row r="9" spans="1:14" x14ac:dyDescent="0.25">
      <c r="A9" s="7" t="s">
        <v>7</v>
      </c>
      <c r="B9" s="5">
        <v>0.49199084668192222</v>
      </c>
      <c r="C9" s="4">
        <f>GETPIVOTDATA("[Measures].[Distinct Count of S/N]",$A$7,"[pg].[Gender]","[pg].[Gender].&amp;[Male]")</f>
        <v>0.49199084668192222</v>
      </c>
      <c r="E9" s="10">
        <v>73831.510297482833</v>
      </c>
      <c r="F9" s="10">
        <f>GETPIVOTDATA("[Measures].[Average of Salary]",$E$8)</f>
        <v>73831.510297482833</v>
      </c>
      <c r="K9" s="10"/>
    </row>
    <row r="10" spans="1:14" x14ac:dyDescent="0.25">
      <c r="A10" s="7" t="s">
        <v>970</v>
      </c>
      <c r="B10" s="5">
        <v>4.3478260869565216E-2</v>
      </c>
      <c r="C10" s="4">
        <f>GETPIVOTDATA("[Measures].[Distinct Count of S/N]",$A$7,"[pg].[Gender]","[pg].[Gender].&amp;[Others]")</f>
        <v>4.3478260869565216E-2</v>
      </c>
    </row>
    <row r="14" spans="1:14" x14ac:dyDescent="0.25">
      <c r="E14" t="s">
        <v>1002</v>
      </c>
    </row>
    <row r="15" spans="1:14" x14ac:dyDescent="0.25">
      <c r="E15" s="10">
        <v>2324.0251372997718</v>
      </c>
      <c r="F15" s="10">
        <f>GETPIVOTDATA("[Measures].[Average of Bonus]",$E$14)</f>
        <v>2324.0251372997718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13E5-E792-4542-A351-A8BDC058F9E8}">
  <sheetPr>
    <tabColor theme="7"/>
  </sheetPr>
  <dimension ref="A1:N33"/>
  <sheetViews>
    <sheetView workbookViewId="0">
      <selection activeCell="D19" sqref="D19"/>
    </sheetView>
  </sheetViews>
  <sheetFormatPr defaultRowHeight="15" x14ac:dyDescent="0.25"/>
  <cols>
    <col min="1" max="1" width="24.7109375" bestFit="1" customWidth="1"/>
    <col min="2" max="2" width="21" bestFit="1" customWidth="1"/>
    <col min="3" max="3" width="5.85546875" bestFit="1" customWidth="1"/>
    <col min="4" max="4" width="7.5703125" bestFit="1" customWidth="1"/>
    <col min="5" max="5" width="12.140625" bestFit="1" customWidth="1"/>
    <col min="6" max="6" width="27.42578125" bestFit="1" customWidth="1"/>
    <col min="7" max="7" width="24.7109375" bestFit="1" customWidth="1"/>
    <col min="8" max="8" width="17.5703125" bestFit="1" customWidth="1"/>
    <col min="9" max="10" width="12" bestFit="1" customWidth="1"/>
    <col min="11" max="11" width="12.140625" bestFit="1" customWidth="1"/>
    <col min="12" max="13" width="6.7109375" bestFit="1" customWidth="1"/>
    <col min="14" max="14" width="14.28515625" bestFit="1" customWidth="1"/>
    <col min="15" max="15" width="21" bestFit="1" customWidth="1"/>
    <col min="16" max="656" width="6.7109375" bestFit="1" customWidth="1"/>
    <col min="657" max="840" width="7.85546875" bestFit="1" customWidth="1"/>
    <col min="841" max="841" width="12.140625" bestFit="1" customWidth="1"/>
    <col min="842" max="866" width="17.5703125" bestFit="1" customWidth="1"/>
    <col min="867" max="867" width="12.140625" bestFit="1" customWidth="1"/>
  </cols>
  <sheetData>
    <row r="1" spans="1:14" x14ac:dyDescent="0.25">
      <c r="A1" t="s">
        <v>974</v>
      </c>
      <c r="G1" t="s">
        <v>981</v>
      </c>
      <c r="N1" t="s">
        <v>995</v>
      </c>
    </row>
    <row r="2" spans="1:14" x14ac:dyDescent="0.25">
      <c r="A2" t="s">
        <v>975</v>
      </c>
    </row>
    <row r="3" spans="1:14" x14ac:dyDescent="0.25">
      <c r="G3" s="6" t="s">
        <v>980</v>
      </c>
      <c r="H3" s="6" t="s">
        <v>977</v>
      </c>
    </row>
    <row r="4" spans="1:14" x14ac:dyDescent="0.25">
      <c r="A4" s="6" t="s">
        <v>980</v>
      </c>
      <c r="B4" s="6" t="s">
        <v>977</v>
      </c>
      <c r="G4" s="6" t="s">
        <v>976</v>
      </c>
      <c r="H4" t="s">
        <v>12</v>
      </c>
      <c r="I4" t="s">
        <v>7</v>
      </c>
      <c r="J4" t="s">
        <v>970</v>
      </c>
    </row>
    <row r="5" spans="1:14" x14ac:dyDescent="0.25">
      <c r="A5" s="6" t="s">
        <v>976</v>
      </c>
      <c r="B5" t="s">
        <v>12</v>
      </c>
      <c r="C5" t="s">
        <v>7</v>
      </c>
      <c r="D5" t="s">
        <v>970</v>
      </c>
      <c r="G5" s="7" t="s">
        <v>28</v>
      </c>
      <c r="H5">
        <v>180</v>
      </c>
      <c r="I5">
        <v>203</v>
      </c>
      <c r="J5">
        <v>17</v>
      </c>
    </row>
    <row r="6" spans="1:14" x14ac:dyDescent="0.25">
      <c r="A6" s="7" t="s">
        <v>17</v>
      </c>
      <c r="B6">
        <v>144</v>
      </c>
      <c r="C6">
        <v>144</v>
      </c>
      <c r="D6">
        <v>16</v>
      </c>
      <c r="G6" s="7" t="s">
        <v>14</v>
      </c>
      <c r="H6">
        <v>82</v>
      </c>
      <c r="I6">
        <v>73</v>
      </c>
      <c r="J6">
        <v>8</v>
      </c>
    </row>
    <row r="7" spans="1:14" x14ac:dyDescent="0.25">
      <c r="A7" s="7" t="s">
        <v>21</v>
      </c>
      <c r="B7">
        <v>151</v>
      </c>
      <c r="C7">
        <v>172</v>
      </c>
      <c r="D7">
        <v>14</v>
      </c>
      <c r="G7" s="7" t="s">
        <v>18</v>
      </c>
      <c r="H7">
        <v>32</v>
      </c>
      <c r="I7">
        <v>27</v>
      </c>
      <c r="J7">
        <v>2</v>
      </c>
    </row>
    <row r="8" spans="1:14" x14ac:dyDescent="0.25">
      <c r="A8" s="7" t="s">
        <v>9</v>
      </c>
      <c r="B8">
        <v>111</v>
      </c>
      <c r="C8">
        <v>114</v>
      </c>
      <c r="D8">
        <v>8</v>
      </c>
      <c r="G8" s="7" t="s">
        <v>24</v>
      </c>
      <c r="H8">
        <v>49</v>
      </c>
      <c r="I8">
        <v>64</v>
      </c>
      <c r="J8">
        <v>3</v>
      </c>
    </row>
    <row r="9" spans="1:14" x14ac:dyDescent="0.25">
      <c r="G9" s="7" t="s">
        <v>10</v>
      </c>
      <c r="H9">
        <v>44</v>
      </c>
      <c r="I9">
        <v>32</v>
      </c>
      <c r="J9">
        <v>5</v>
      </c>
    </row>
    <row r="10" spans="1:14" x14ac:dyDescent="0.25">
      <c r="G10" s="7" t="s">
        <v>51</v>
      </c>
      <c r="H10">
        <v>19</v>
      </c>
      <c r="I10">
        <v>31</v>
      </c>
      <c r="J10">
        <v>3</v>
      </c>
    </row>
    <row r="11" spans="1:14" x14ac:dyDescent="0.25">
      <c r="A11" s="7" t="s">
        <v>979</v>
      </c>
    </row>
    <row r="13" spans="1:14" x14ac:dyDescent="0.25">
      <c r="A13" s="6" t="s">
        <v>976</v>
      </c>
      <c r="B13" t="s">
        <v>980</v>
      </c>
    </row>
    <row r="14" spans="1:14" x14ac:dyDescent="0.25">
      <c r="A14" s="7" t="s">
        <v>53</v>
      </c>
      <c r="B14">
        <v>65</v>
      </c>
    </row>
    <row r="15" spans="1:14" x14ac:dyDescent="0.25">
      <c r="A15" s="7" t="s">
        <v>34</v>
      </c>
      <c r="B15">
        <v>74</v>
      </c>
      <c r="G15" t="s">
        <v>984</v>
      </c>
    </row>
    <row r="16" spans="1:14" x14ac:dyDescent="0.25">
      <c r="A16" s="7" t="s">
        <v>13</v>
      </c>
      <c r="B16">
        <v>75</v>
      </c>
      <c r="G16" s="6" t="s">
        <v>998</v>
      </c>
      <c r="H16" s="6" t="s">
        <v>977</v>
      </c>
    </row>
    <row r="17" spans="1:10" x14ac:dyDescent="0.25">
      <c r="A17" s="7" t="s">
        <v>27</v>
      </c>
      <c r="B17">
        <v>73</v>
      </c>
      <c r="G17" s="6" t="s">
        <v>976</v>
      </c>
      <c r="H17" t="s">
        <v>12</v>
      </c>
      <c r="I17" t="s">
        <v>7</v>
      </c>
      <c r="J17" t="s">
        <v>970</v>
      </c>
    </row>
    <row r="18" spans="1:10" x14ac:dyDescent="0.25">
      <c r="A18" s="7" t="s">
        <v>20</v>
      </c>
      <c r="B18">
        <v>80</v>
      </c>
      <c r="G18" s="7" t="s">
        <v>53</v>
      </c>
      <c r="H18">
        <v>72814.444444444438</v>
      </c>
      <c r="I18">
        <v>76726.388888888891</v>
      </c>
      <c r="J18">
        <v>102560</v>
      </c>
    </row>
    <row r="19" spans="1:10" x14ac:dyDescent="0.25">
      <c r="A19" s="7" t="s">
        <v>67</v>
      </c>
      <c r="B19">
        <v>63</v>
      </c>
      <c r="G19" s="7" t="s">
        <v>34</v>
      </c>
      <c r="H19">
        <v>74667.105263157893</v>
      </c>
      <c r="I19">
        <v>80595.757575757569</v>
      </c>
      <c r="J19">
        <v>49956.666666666664</v>
      </c>
    </row>
    <row r="20" spans="1:10" x14ac:dyDescent="0.25">
      <c r="A20" s="7" t="s">
        <v>37</v>
      </c>
      <c r="B20">
        <v>80</v>
      </c>
      <c r="G20" s="7" t="s">
        <v>13</v>
      </c>
      <c r="H20">
        <v>74867.71428571429</v>
      </c>
      <c r="I20">
        <v>68096.857142857145</v>
      </c>
      <c r="J20">
        <v>78626</v>
      </c>
    </row>
    <row r="21" spans="1:10" x14ac:dyDescent="0.25">
      <c r="A21" s="7" t="s">
        <v>50</v>
      </c>
      <c r="B21">
        <v>65</v>
      </c>
      <c r="G21" s="7" t="s">
        <v>27</v>
      </c>
      <c r="H21">
        <v>67061.621621621627</v>
      </c>
      <c r="I21">
        <v>74344.84848484848</v>
      </c>
      <c r="J21">
        <v>94283.333333333328</v>
      </c>
    </row>
    <row r="22" spans="1:10" x14ac:dyDescent="0.25">
      <c r="A22" s="7" t="s">
        <v>8</v>
      </c>
      <c r="B22">
        <v>75</v>
      </c>
      <c r="G22" s="7" t="s">
        <v>20</v>
      </c>
      <c r="H22">
        <v>69904.0625</v>
      </c>
      <c r="I22">
        <v>73832.272727272721</v>
      </c>
      <c r="J22">
        <v>81875</v>
      </c>
    </row>
    <row r="23" spans="1:10" x14ac:dyDescent="0.25">
      <c r="A23" s="7" t="s">
        <v>31</v>
      </c>
      <c r="B23">
        <v>77</v>
      </c>
      <c r="G23" s="7" t="s">
        <v>67</v>
      </c>
      <c r="H23">
        <v>79107.741935483864</v>
      </c>
      <c r="I23">
        <v>73242.258064516136</v>
      </c>
      <c r="J23">
        <v>105870</v>
      </c>
    </row>
    <row r="24" spans="1:10" x14ac:dyDescent="0.25">
      <c r="A24" s="7" t="s">
        <v>23</v>
      </c>
      <c r="B24">
        <v>75</v>
      </c>
      <c r="G24" s="7" t="s">
        <v>37</v>
      </c>
      <c r="H24">
        <v>71557.948717948719</v>
      </c>
      <c r="I24">
        <v>73483.75</v>
      </c>
      <c r="J24">
        <v>36480</v>
      </c>
    </row>
    <row r="25" spans="1:10" x14ac:dyDescent="0.25">
      <c r="A25" s="7" t="s">
        <v>42</v>
      </c>
      <c r="B25">
        <v>72</v>
      </c>
      <c r="G25" s="7" t="s">
        <v>50</v>
      </c>
      <c r="H25">
        <v>67887.8125</v>
      </c>
      <c r="I25">
        <v>70337.5</v>
      </c>
      <c r="J25">
        <v>78614</v>
      </c>
    </row>
    <row r="26" spans="1:10" x14ac:dyDescent="0.25">
      <c r="G26" s="7" t="s">
        <v>8</v>
      </c>
      <c r="H26">
        <v>70144.375</v>
      </c>
      <c r="I26">
        <v>71287.179487179485</v>
      </c>
      <c r="J26">
        <v>89125</v>
      </c>
    </row>
    <row r="27" spans="1:10" x14ac:dyDescent="0.25">
      <c r="G27" s="7" t="s">
        <v>31</v>
      </c>
      <c r="H27">
        <v>74160.512820512828</v>
      </c>
      <c r="I27">
        <v>80379.142857142855</v>
      </c>
      <c r="J27">
        <v>67066.666666666672</v>
      </c>
    </row>
    <row r="28" spans="1:10" x14ac:dyDescent="0.25">
      <c r="G28" s="7" t="s">
        <v>23</v>
      </c>
      <c r="H28">
        <v>71585.666666666672</v>
      </c>
      <c r="I28">
        <v>77054.14634146342</v>
      </c>
      <c r="J28">
        <v>76225</v>
      </c>
    </row>
    <row r="29" spans="1:10" x14ac:dyDescent="0.25">
      <c r="G29" s="7" t="s">
        <v>42</v>
      </c>
      <c r="H29">
        <v>77578.823529411762</v>
      </c>
      <c r="I29">
        <v>74247.428571428565</v>
      </c>
      <c r="J29">
        <v>84943.333333333328</v>
      </c>
    </row>
    <row r="33" spans="7:7" x14ac:dyDescent="0.25">
      <c r="G33" t="s">
        <v>1004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032F-41A6-464C-8602-7EF9AA5F0021}">
  <sheetPr>
    <tabColor rgb="FF002060"/>
  </sheetPr>
  <dimension ref="A1"/>
  <sheetViews>
    <sheetView showGridLines="0" tabSelected="1" workbookViewId="0">
      <selection activeCell="A28" sqref="A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A13B-8070-420A-822B-BC6F08E8B806}">
  <dimension ref="X1:AF30"/>
  <sheetViews>
    <sheetView topLeftCell="K1" workbookViewId="0">
      <selection activeCell="S23" sqref="S23"/>
    </sheetView>
  </sheetViews>
  <sheetFormatPr defaultRowHeight="15" x14ac:dyDescent="0.25"/>
  <cols>
    <col min="1" max="1" width="24.7109375" bestFit="1" customWidth="1"/>
    <col min="2" max="2" width="17.5703125" bestFit="1" customWidth="1"/>
    <col min="3" max="4" width="12" bestFit="1" customWidth="1"/>
    <col min="7" max="7" width="21" bestFit="1" customWidth="1"/>
    <col min="8" max="8" width="17.5703125" bestFit="1" customWidth="1"/>
    <col min="9" max="9" width="5.85546875" bestFit="1" customWidth="1"/>
    <col min="10" max="10" width="7.5703125" bestFit="1" customWidth="1"/>
    <col min="24" max="24" width="21" bestFit="1" customWidth="1"/>
    <col min="25" max="25" width="17.5703125" bestFit="1" customWidth="1"/>
    <col min="26" max="26" width="5.85546875" bestFit="1" customWidth="1"/>
    <col min="27" max="27" width="7.5703125" bestFit="1" customWidth="1"/>
    <col min="30" max="30" width="24.7109375" bestFit="1" customWidth="1"/>
    <col min="31" max="31" width="17.7109375" bestFit="1" customWidth="1"/>
    <col min="32" max="32" width="23.140625" bestFit="1" customWidth="1"/>
  </cols>
  <sheetData>
    <row r="1" spans="24:32" x14ac:dyDescent="0.25">
      <c r="X1" s="6" t="s">
        <v>980</v>
      </c>
      <c r="Y1" s="6" t="s">
        <v>977</v>
      </c>
      <c r="AD1" t="s">
        <v>996</v>
      </c>
    </row>
    <row r="2" spans="24:32" x14ac:dyDescent="0.25">
      <c r="X2" s="6" t="s">
        <v>976</v>
      </c>
      <c r="Y2" t="s">
        <v>12</v>
      </c>
      <c r="Z2" t="s">
        <v>7</v>
      </c>
      <c r="AA2" t="s">
        <v>970</v>
      </c>
    </row>
    <row r="3" spans="24:32" x14ac:dyDescent="0.25">
      <c r="X3" s="7" t="s">
        <v>1017</v>
      </c>
      <c r="Y3">
        <v>121</v>
      </c>
      <c r="Z3">
        <v>140</v>
      </c>
      <c r="AA3">
        <v>14</v>
      </c>
      <c r="AD3" s="6" t="s">
        <v>976</v>
      </c>
      <c r="AE3" t="s">
        <v>998</v>
      </c>
      <c r="AF3" t="s">
        <v>999</v>
      </c>
    </row>
    <row r="4" spans="24:32" x14ac:dyDescent="0.25">
      <c r="X4" s="7" t="s">
        <v>1018</v>
      </c>
      <c r="Y4">
        <v>285</v>
      </c>
      <c r="Z4">
        <v>290</v>
      </c>
      <c r="AA4">
        <v>24</v>
      </c>
      <c r="AD4" s="7" t="s">
        <v>12</v>
      </c>
      <c r="AE4">
        <v>72609.753694581275</v>
      </c>
      <c r="AF4">
        <v>75028.763669950727</v>
      </c>
    </row>
    <row r="5" spans="24:32" x14ac:dyDescent="0.25">
      <c r="AD5" s="7" t="s">
        <v>7</v>
      </c>
      <c r="AE5">
        <v>74506.651162790702</v>
      </c>
      <c r="AF5">
        <v>76708.355906976736</v>
      </c>
    </row>
    <row r="6" spans="24:32" x14ac:dyDescent="0.25">
      <c r="AD6" s="7" t="s">
        <v>970</v>
      </c>
      <c r="AE6">
        <v>79245.263157894733</v>
      </c>
      <c r="AF6">
        <v>81938.602105263155</v>
      </c>
    </row>
    <row r="12" spans="24:32" x14ac:dyDescent="0.25">
      <c r="AD12" t="s">
        <v>1000</v>
      </c>
    </row>
    <row r="14" spans="24:32" x14ac:dyDescent="0.25">
      <c r="X14" s="6" t="s">
        <v>980</v>
      </c>
      <c r="Y14" s="6" t="s">
        <v>977</v>
      </c>
    </row>
    <row r="15" spans="24:32" x14ac:dyDescent="0.25">
      <c r="X15" s="6" t="s">
        <v>976</v>
      </c>
      <c r="Y15" t="s">
        <v>12</v>
      </c>
      <c r="Z15" t="s">
        <v>7</v>
      </c>
      <c r="AA15" t="s">
        <v>970</v>
      </c>
      <c r="AD15" s="6" t="s">
        <v>976</v>
      </c>
      <c r="AE15" t="s">
        <v>998</v>
      </c>
      <c r="AF15" t="s">
        <v>999</v>
      </c>
    </row>
    <row r="16" spans="24:32" x14ac:dyDescent="0.25">
      <c r="X16" s="7" t="s">
        <v>988</v>
      </c>
      <c r="Y16">
        <v>44</v>
      </c>
      <c r="Z16">
        <v>47</v>
      </c>
      <c r="AA16">
        <v>7</v>
      </c>
      <c r="AD16" s="7" t="s">
        <v>53</v>
      </c>
      <c r="AE16">
        <v>75896.307692307688</v>
      </c>
      <c r="AF16">
        <v>78146.364461538484</v>
      </c>
    </row>
    <row r="17" spans="24:32" x14ac:dyDescent="0.25">
      <c r="X17" s="7" t="s">
        <v>990</v>
      </c>
      <c r="Y17">
        <v>54</v>
      </c>
      <c r="Z17">
        <v>40</v>
      </c>
      <c r="AA17">
        <v>2</v>
      </c>
      <c r="AD17" s="7" t="s">
        <v>34</v>
      </c>
      <c r="AE17">
        <v>76309.189189189186</v>
      </c>
      <c r="AF17">
        <v>78685.155540540552</v>
      </c>
    </row>
    <row r="18" spans="24:32" x14ac:dyDescent="0.25">
      <c r="X18" s="7" t="s">
        <v>989</v>
      </c>
      <c r="Y18">
        <v>46</v>
      </c>
      <c r="Z18">
        <v>46</v>
      </c>
      <c r="AA18">
        <v>2</v>
      </c>
      <c r="AD18" s="7" t="s">
        <v>13</v>
      </c>
      <c r="AE18">
        <v>71958.53333333334</v>
      </c>
      <c r="AF18">
        <v>74408.540666666682</v>
      </c>
    </row>
    <row r="19" spans="24:32" x14ac:dyDescent="0.25">
      <c r="X19" s="7" t="s">
        <v>992</v>
      </c>
      <c r="Y19">
        <v>50</v>
      </c>
      <c r="Z19">
        <v>52</v>
      </c>
      <c r="AA19">
        <v>7</v>
      </c>
      <c r="AD19" s="7" t="s">
        <v>27</v>
      </c>
      <c r="AE19">
        <v>71472.739726027401</v>
      </c>
      <c r="AF19">
        <v>73633.288493150685</v>
      </c>
    </row>
    <row r="20" spans="24:32" x14ac:dyDescent="0.25">
      <c r="X20" s="7" t="s">
        <v>985</v>
      </c>
      <c r="Y20">
        <v>51</v>
      </c>
      <c r="Z20">
        <v>42</v>
      </c>
      <c r="AA20">
        <v>3</v>
      </c>
      <c r="AD20" s="7" t="s">
        <v>20</v>
      </c>
      <c r="AE20">
        <v>72663.125</v>
      </c>
      <c r="AF20">
        <v>74591.976999999999</v>
      </c>
    </row>
    <row r="21" spans="24:32" x14ac:dyDescent="0.25">
      <c r="AD21" s="7" t="s">
        <v>67</v>
      </c>
      <c r="AE21">
        <v>76646.349206349201</v>
      </c>
      <c r="AF21">
        <v>79470.465079365094</v>
      </c>
    </row>
    <row r="22" spans="24:32" x14ac:dyDescent="0.25">
      <c r="AD22" s="7" t="s">
        <v>37</v>
      </c>
      <c r="AE22">
        <v>72082.375</v>
      </c>
      <c r="AF22">
        <v>74130.774125000025</v>
      </c>
    </row>
    <row r="23" spans="24:32" x14ac:dyDescent="0.25">
      <c r="AD23" s="7" t="s">
        <v>50</v>
      </c>
      <c r="AE23">
        <v>69768.153846153844</v>
      </c>
      <c r="AF23">
        <v>72310.033846153863</v>
      </c>
    </row>
    <row r="24" spans="24:32" x14ac:dyDescent="0.25">
      <c r="AD24" s="7" t="s">
        <v>8</v>
      </c>
      <c r="AE24">
        <v>71750.933333333334</v>
      </c>
      <c r="AF24">
        <v>73780.62519999998</v>
      </c>
    </row>
    <row r="25" spans="24:32" x14ac:dyDescent="0.25">
      <c r="AD25" s="7" t="s">
        <v>31</v>
      </c>
      <c r="AE25">
        <v>76710.779220779223</v>
      </c>
      <c r="AF25">
        <v>78976.940909090903</v>
      </c>
    </row>
    <row r="26" spans="24:32" x14ac:dyDescent="0.25">
      <c r="AD26" s="7" t="s">
        <v>23</v>
      </c>
      <c r="AE26">
        <v>74822.53333333334</v>
      </c>
      <c r="AF26">
        <v>77093.707466666689</v>
      </c>
    </row>
    <row r="27" spans="24:32" x14ac:dyDescent="0.25">
      <c r="AD27" s="7" t="s">
        <v>42</v>
      </c>
      <c r="AE27">
        <v>76266.25</v>
      </c>
      <c r="AF27">
        <v>79172.794027777767</v>
      </c>
    </row>
    <row r="30" spans="24:32" x14ac:dyDescent="0.25">
      <c r="AD30" s="7" t="s">
        <v>1016</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97B1-5511-44C6-9C5D-89DB20880854}">
  <dimension ref="U1:AO128"/>
  <sheetViews>
    <sheetView workbookViewId="0">
      <selection activeCell="V10" sqref="V10"/>
    </sheetView>
  </sheetViews>
  <sheetFormatPr defaultRowHeight="15" x14ac:dyDescent="0.25"/>
  <cols>
    <col min="1" max="16384" width="9.140625" style="12"/>
  </cols>
  <sheetData>
    <row r="1" spans="21:41" x14ac:dyDescent="0.25">
      <c r="U1" s="13"/>
      <c r="V1" s="13"/>
      <c r="W1" s="13"/>
      <c r="X1" s="13"/>
      <c r="Y1" s="13"/>
      <c r="Z1" s="13"/>
      <c r="AA1" s="13"/>
      <c r="AB1" s="13"/>
      <c r="AC1" s="13"/>
      <c r="AD1" s="13"/>
      <c r="AE1" s="13"/>
      <c r="AF1" s="13"/>
      <c r="AG1" s="13"/>
      <c r="AH1" s="13"/>
      <c r="AI1" s="13"/>
      <c r="AJ1" s="13"/>
      <c r="AK1" s="13"/>
      <c r="AL1" s="13"/>
      <c r="AM1" s="13"/>
      <c r="AN1" s="13"/>
      <c r="AO1" s="13"/>
    </row>
    <row r="2" spans="21:41" x14ac:dyDescent="0.25">
      <c r="U2" s="13"/>
      <c r="V2" s="13"/>
      <c r="W2" s="13"/>
      <c r="X2" s="13"/>
      <c r="Y2" s="13"/>
      <c r="Z2" s="13"/>
      <c r="AA2" s="13"/>
      <c r="AB2" s="13"/>
      <c r="AC2" s="13"/>
      <c r="AD2" s="13"/>
      <c r="AE2" s="13"/>
      <c r="AF2" s="13"/>
      <c r="AG2" s="13"/>
      <c r="AH2" s="13"/>
      <c r="AI2" s="13"/>
      <c r="AJ2" s="13"/>
      <c r="AK2" s="13"/>
      <c r="AL2" s="13"/>
      <c r="AM2" s="13"/>
      <c r="AN2" s="13"/>
      <c r="AO2" s="13"/>
    </row>
    <row r="3" spans="21:41" x14ac:dyDescent="0.25">
      <c r="U3" s="13"/>
      <c r="V3" s="13"/>
      <c r="W3" s="13"/>
      <c r="X3" s="13"/>
      <c r="Y3" s="13"/>
      <c r="Z3" s="13"/>
      <c r="AA3" s="13"/>
      <c r="AB3" s="13"/>
      <c r="AC3" s="13"/>
      <c r="AD3" s="13"/>
      <c r="AE3" s="13"/>
      <c r="AF3" s="13"/>
      <c r="AG3" s="13"/>
      <c r="AH3" s="13"/>
      <c r="AI3" s="13"/>
      <c r="AJ3" s="13"/>
      <c r="AK3" s="13"/>
      <c r="AL3" s="13"/>
      <c r="AM3" s="13"/>
      <c r="AN3" s="13"/>
      <c r="AO3" s="13"/>
    </row>
    <row r="4" spans="21:41" x14ac:dyDescent="0.25">
      <c r="U4" s="13"/>
      <c r="V4" s="13"/>
      <c r="W4" s="13"/>
      <c r="X4" s="13"/>
      <c r="Y4" s="13"/>
      <c r="Z4" s="13"/>
      <c r="AA4" s="13"/>
      <c r="AB4" s="13"/>
      <c r="AC4" s="13"/>
      <c r="AD4" s="13"/>
      <c r="AE4" s="13"/>
      <c r="AF4" s="13"/>
      <c r="AG4" s="13"/>
      <c r="AH4" s="13"/>
      <c r="AI4" s="13"/>
      <c r="AJ4" s="13"/>
      <c r="AK4" s="13"/>
      <c r="AL4" s="13"/>
      <c r="AM4" s="13"/>
      <c r="AN4" s="13"/>
      <c r="AO4" s="13"/>
    </row>
    <row r="5" spans="21:41" x14ac:dyDescent="0.25">
      <c r="U5" s="13"/>
      <c r="V5" s="13"/>
      <c r="W5" s="13"/>
      <c r="X5" s="13"/>
      <c r="Y5" s="13"/>
      <c r="Z5" s="13"/>
      <c r="AA5" s="13"/>
      <c r="AB5" s="13"/>
      <c r="AC5" s="13"/>
      <c r="AD5" s="13"/>
      <c r="AE5" s="13"/>
      <c r="AF5" s="13"/>
      <c r="AG5" s="13"/>
      <c r="AH5" s="13"/>
      <c r="AI5" s="13"/>
      <c r="AJ5" s="13"/>
      <c r="AK5" s="13"/>
      <c r="AL5" s="13"/>
      <c r="AM5" s="13"/>
      <c r="AN5" s="13"/>
      <c r="AO5" s="13"/>
    </row>
    <row r="6" spans="21:41" x14ac:dyDescent="0.25">
      <c r="U6" s="13"/>
      <c r="V6" s="13"/>
      <c r="W6" s="13"/>
      <c r="X6" s="13"/>
      <c r="Y6" s="13"/>
      <c r="Z6" s="13"/>
      <c r="AA6" s="13"/>
      <c r="AB6" s="13"/>
      <c r="AC6" s="13"/>
      <c r="AD6" s="13"/>
      <c r="AE6" s="13"/>
      <c r="AF6" s="13"/>
      <c r="AG6" s="13"/>
      <c r="AH6" s="13"/>
      <c r="AI6" s="13"/>
      <c r="AJ6" s="13"/>
      <c r="AK6" s="13"/>
      <c r="AL6" s="13"/>
      <c r="AM6" s="13"/>
      <c r="AN6" s="13"/>
      <c r="AO6" s="13"/>
    </row>
    <row r="7" spans="21:41" x14ac:dyDescent="0.25">
      <c r="U7" s="13"/>
      <c r="V7" s="13"/>
      <c r="W7" s="13"/>
      <c r="X7" s="13"/>
      <c r="Y7" s="13"/>
      <c r="Z7" s="13"/>
      <c r="AA7" s="13"/>
      <c r="AB7" s="13"/>
      <c r="AC7" s="13"/>
      <c r="AD7" s="13"/>
      <c r="AE7" s="13"/>
      <c r="AF7" s="13"/>
      <c r="AG7" s="13"/>
      <c r="AH7" s="13"/>
      <c r="AI7" s="13"/>
      <c r="AJ7" s="13"/>
      <c r="AK7" s="13"/>
      <c r="AL7" s="13"/>
      <c r="AM7" s="13"/>
      <c r="AN7" s="13"/>
      <c r="AO7" s="13"/>
    </row>
    <row r="8" spans="21:41" x14ac:dyDescent="0.25">
      <c r="U8" s="13"/>
      <c r="V8" s="13"/>
      <c r="W8" s="13"/>
      <c r="X8" s="13"/>
      <c r="Y8" s="13"/>
      <c r="Z8" s="13"/>
      <c r="AA8" s="13"/>
      <c r="AB8" s="13"/>
      <c r="AC8" s="13"/>
      <c r="AD8" s="13"/>
      <c r="AE8" s="13"/>
      <c r="AF8" s="13"/>
      <c r="AG8" s="13"/>
      <c r="AH8" s="13"/>
      <c r="AI8" s="13"/>
      <c r="AJ8" s="13"/>
      <c r="AK8" s="13"/>
      <c r="AL8" s="13"/>
      <c r="AM8" s="13"/>
      <c r="AN8" s="13"/>
      <c r="AO8" s="13"/>
    </row>
    <row r="9" spans="21:41" x14ac:dyDescent="0.25">
      <c r="U9" s="13"/>
      <c r="V9" s="13"/>
      <c r="W9" s="13"/>
      <c r="X9" s="13"/>
      <c r="Y9" s="13"/>
      <c r="Z9" s="13"/>
      <c r="AA9" s="13"/>
      <c r="AB9" s="13"/>
      <c r="AC9" s="13"/>
      <c r="AD9" s="13"/>
      <c r="AE9" s="13"/>
      <c r="AF9" s="13"/>
      <c r="AG9" s="13"/>
      <c r="AH9" s="13"/>
      <c r="AI9" s="13"/>
      <c r="AJ9" s="13"/>
      <c r="AK9" s="13"/>
      <c r="AL9" s="13"/>
      <c r="AM9" s="13"/>
      <c r="AN9" s="13"/>
      <c r="AO9" s="13"/>
    </row>
    <row r="10" spans="21:41" x14ac:dyDescent="0.25">
      <c r="U10" s="13"/>
      <c r="V10" s="13"/>
      <c r="W10" s="13"/>
      <c r="X10" s="13"/>
      <c r="Y10" s="13"/>
      <c r="Z10" s="13"/>
      <c r="AA10" s="13"/>
      <c r="AB10" s="13"/>
      <c r="AC10" s="13"/>
      <c r="AD10" s="13"/>
      <c r="AE10" s="13"/>
      <c r="AF10" s="13"/>
      <c r="AG10" s="13"/>
      <c r="AH10" s="13"/>
      <c r="AI10" s="13"/>
      <c r="AJ10" s="13"/>
      <c r="AK10" s="13"/>
      <c r="AL10" s="13"/>
      <c r="AM10" s="13"/>
      <c r="AN10" s="13"/>
      <c r="AO10" s="13"/>
    </row>
    <row r="11" spans="21:41" x14ac:dyDescent="0.25">
      <c r="U11" s="13"/>
      <c r="V11" s="13"/>
      <c r="W11" s="13"/>
      <c r="X11" s="13"/>
      <c r="Y11" s="13"/>
      <c r="Z11" s="13"/>
      <c r="AA11" s="13"/>
      <c r="AB11" s="13"/>
      <c r="AC11" s="13"/>
      <c r="AD11" s="13"/>
      <c r="AE11" s="13"/>
      <c r="AF11" s="13"/>
      <c r="AG11" s="13"/>
      <c r="AH11" s="13"/>
      <c r="AI11" s="13"/>
      <c r="AJ11" s="13"/>
      <c r="AK11" s="13"/>
      <c r="AL11" s="13"/>
      <c r="AM11" s="13"/>
      <c r="AN11" s="13"/>
      <c r="AO11" s="13"/>
    </row>
    <row r="12" spans="21:41" x14ac:dyDescent="0.25">
      <c r="U12" s="13"/>
      <c r="V12" s="13"/>
      <c r="W12" s="13"/>
      <c r="X12" s="13"/>
      <c r="Y12" s="13"/>
      <c r="Z12" s="13"/>
      <c r="AA12" s="13"/>
      <c r="AB12" s="13"/>
      <c r="AC12" s="13"/>
      <c r="AD12" s="13"/>
      <c r="AE12" s="13"/>
      <c r="AF12" s="13"/>
      <c r="AG12" s="13"/>
      <c r="AH12" s="13"/>
      <c r="AI12" s="13"/>
      <c r="AJ12" s="13"/>
      <c r="AK12" s="13"/>
      <c r="AL12" s="13"/>
      <c r="AM12" s="13"/>
      <c r="AN12" s="13"/>
      <c r="AO12" s="13"/>
    </row>
    <row r="13" spans="21:41" x14ac:dyDescent="0.25">
      <c r="U13" s="13"/>
      <c r="V13" s="13"/>
      <c r="W13" s="13"/>
      <c r="X13" s="13"/>
      <c r="Y13" s="13"/>
      <c r="Z13" s="13"/>
      <c r="AA13" s="13"/>
      <c r="AB13" s="13"/>
      <c r="AC13" s="13"/>
      <c r="AD13" s="13"/>
      <c r="AE13" s="13"/>
      <c r="AF13" s="13"/>
      <c r="AG13" s="13"/>
      <c r="AH13" s="13"/>
      <c r="AI13" s="13"/>
      <c r="AJ13" s="13"/>
      <c r="AK13" s="13"/>
      <c r="AL13" s="13"/>
      <c r="AM13" s="13"/>
      <c r="AN13" s="13"/>
      <c r="AO13" s="13"/>
    </row>
    <row r="14" spans="21:41" x14ac:dyDescent="0.25">
      <c r="U14" s="13"/>
      <c r="V14" s="13"/>
      <c r="W14" s="13"/>
      <c r="X14" s="13"/>
      <c r="Y14" s="13"/>
      <c r="Z14" s="13"/>
      <c r="AA14" s="13"/>
      <c r="AB14" s="13"/>
      <c r="AC14" s="13"/>
      <c r="AD14" s="13"/>
      <c r="AE14" s="13"/>
      <c r="AF14" s="13"/>
      <c r="AG14" s="13"/>
      <c r="AH14" s="13"/>
      <c r="AI14" s="13"/>
      <c r="AJ14" s="13"/>
      <c r="AK14" s="13"/>
      <c r="AL14" s="13"/>
      <c r="AM14" s="13"/>
      <c r="AN14" s="13"/>
      <c r="AO14" s="13"/>
    </row>
    <row r="15" spans="21:41" x14ac:dyDescent="0.25">
      <c r="U15" s="13"/>
      <c r="V15" s="13"/>
      <c r="W15" s="13"/>
      <c r="X15" s="13"/>
      <c r="Y15" s="13"/>
      <c r="Z15" s="13"/>
      <c r="AA15" s="13"/>
      <c r="AB15" s="13"/>
      <c r="AC15" s="13"/>
      <c r="AD15" s="13"/>
      <c r="AE15" s="13"/>
      <c r="AF15" s="13"/>
      <c r="AG15" s="13"/>
      <c r="AH15" s="13"/>
      <c r="AI15" s="13"/>
      <c r="AJ15" s="13"/>
      <c r="AK15" s="13"/>
      <c r="AL15" s="13"/>
      <c r="AM15" s="13"/>
      <c r="AN15" s="13"/>
      <c r="AO15" s="13"/>
    </row>
    <row r="16" spans="21:41" x14ac:dyDescent="0.25">
      <c r="U16" s="13"/>
      <c r="V16" s="13"/>
      <c r="W16" s="13"/>
      <c r="X16" s="13"/>
      <c r="Y16" s="13"/>
      <c r="Z16" s="13"/>
      <c r="AA16" s="13"/>
      <c r="AB16" s="13"/>
      <c r="AC16" s="13"/>
      <c r="AD16" s="13"/>
      <c r="AE16" s="13"/>
      <c r="AF16" s="13"/>
      <c r="AG16" s="13"/>
      <c r="AH16" s="13"/>
      <c r="AI16" s="13"/>
      <c r="AJ16" s="13"/>
      <c r="AK16" s="13"/>
      <c r="AL16" s="13"/>
      <c r="AM16" s="13"/>
      <c r="AN16" s="13"/>
      <c r="AO16" s="13"/>
    </row>
    <row r="17" spans="21:41" x14ac:dyDescent="0.25">
      <c r="U17" s="13"/>
      <c r="V17" s="13"/>
      <c r="W17" s="13"/>
      <c r="X17" s="13"/>
      <c r="Y17" s="13"/>
      <c r="Z17" s="13"/>
      <c r="AA17" s="13"/>
      <c r="AB17" s="13"/>
      <c r="AC17" s="13"/>
      <c r="AD17" s="13"/>
      <c r="AE17" s="13"/>
      <c r="AF17" s="13"/>
      <c r="AG17" s="13"/>
      <c r="AH17" s="13"/>
      <c r="AI17" s="13"/>
      <c r="AJ17" s="13"/>
      <c r="AK17" s="13"/>
      <c r="AL17" s="13"/>
      <c r="AM17" s="13"/>
      <c r="AN17" s="13"/>
      <c r="AO17" s="13"/>
    </row>
    <row r="18" spans="21:41" x14ac:dyDescent="0.25">
      <c r="U18" s="13"/>
      <c r="V18" s="13"/>
      <c r="W18" s="13"/>
      <c r="X18" s="13"/>
      <c r="Y18" s="13"/>
      <c r="Z18" s="13"/>
      <c r="AA18" s="13"/>
      <c r="AB18" s="13"/>
      <c r="AC18" s="13"/>
      <c r="AD18" s="13"/>
      <c r="AE18" s="13"/>
      <c r="AF18" s="13"/>
      <c r="AG18" s="13"/>
      <c r="AH18" s="13"/>
      <c r="AI18" s="13"/>
      <c r="AJ18" s="13"/>
      <c r="AK18" s="13"/>
      <c r="AL18" s="13"/>
      <c r="AM18" s="13"/>
      <c r="AN18" s="13"/>
      <c r="AO18" s="13"/>
    </row>
    <row r="19" spans="21:41" x14ac:dyDescent="0.25">
      <c r="U19" s="13"/>
      <c r="V19" s="13"/>
      <c r="W19" s="13"/>
      <c r="X19" s="13"/>
      <c r="Y19" s="13"/>
      <c r="Z19" s="13"/>
      <c r="AA19" s="13"/>
      <c r="AB19" s="13"/>
      <c r="AC19" s="13"/>
      <c r="AD19" s="13"/>
      <c r="AE19" s="13"/>
      <c r="AF19" s="13"/>
      <c r="AG19" s="13"/>
      <c r="AH19" s="13"/>
      <c r="AI19" s="13"/>
      <c r="AJ19" s="13"/>
      <c r="AK19" s="13"/>
      <c r="AL19" s="13"/>
      <c r="AM19" s="13"/>
      <c r="AN19" s="13"/>
      <c r="AO19" s="13"/>
    </row>
    <row r="20" spans="21:41" x14ac:dyDescent="0.25">
      <c r="U20" s="13"/>
      <c r="V20" s="13"/>
      <c r="W20" s="13"/>
      <c r="X20" s="13"/>
      <c r="Y20" s="13"/>
      <c r="Z20" s="13"/>
      <c r="AA20" s="13"/>
      <c r="AB20" s="13"/>
      <c r="AC20" s="13"/>
      <c r="AD20" s="13"/>
      <c r="AE20" s="13"/>
      <c r="AF20" s="13"/>
      <c r="AG20" s="13"/>
      <c r="AH20" s="13"/>
      <c r="AI20" s="13"/>
      <c r="AJ20" s="13"/>
      <c r="AK20" s="13"/>
      <c r="AL20" s="13"/>
      <c r="AM20" s="13"/>
      <c r="AN20" s="13"/>
      <c r="AO20" s="13"/>
    </row>
    <row r="21" spans="21:41" x14ac:dyDescent="0.25">
      <c r="U21" s="13"/>
      <c r="V21" s="13"/>
      <c r="W21" s="13"/>
      <c r="X21" s="13"/>
      <c r="Y21" s="13"/>
      <c r="Z21" s="13"/>
      <c r="AA21" s="13"/>
      <c r="AB21" s="13"/>
      <c r="AC21" s="13"/>
      <c r="AD21" s="13"/>
      <c r="AE21" s="13"/>
      <c r="AF21" s="13"/>
      <c r="AG21" s="13"/>
      <c r="AH21" s="13"/>
      <c r="AI21" s="13"/>
      <c r="AJ21" s="13"/>
      <c r="AK21" s="13"/>
      <c r="AL21" s="13"/>
      <c r="AM21" s="13"/>
      <c r="AN21" s="13"/>
      <c r="AO21" s="13"/>
    </row>
    <row r="22" spans="21:41" x14ac:dyDescent="0.25">
      <c r="U22" s="13"/>
      <c r="V22" s="13"/>
      <c r="W22" s="13"/>
      <c r="X22" s="13"/>
      <c r="Y22" s="13"/>
      <c r="Z22" s="13"/>
      <c r="AA22" s="13"/>
      <c r="AB22" s="13"/>
      <c r="AC22" s="13"/>
      <c r="AD22" s="13"/>
      <c r="AE22" s="13"/>
      <c r="AF22" s="13"/>
      <c r="AG22" s="13"/>
      <c r="AH22" s="13"/>
      <c r="AI22" s="13"/>
      <c r="AJ22" s="13"/>
      <c r="AK22" s="13"/>
      <c r="AL22" s="13"/>
      <c r="AM22" s="13"/>
      <c r="AN22" s="13"/>
      <c r="AO22" s="13"/>
    </row>
    <row r="23" spans="21:41" x14ac:dyDescent="0.25">
      <c r="U23" s="13"/>
      <c r="V23" s="13"/>
      <c r="W23" s="13"/>
      <c r="X23" s="13"/>
      <c r="Y23" s="13"/>
      <c r="Z23" s="13"/>
      <c r="AA23" s="13"/>
      <c r="AB23" s="13"/>
      <c r="AC23" s="13"/>
      <c r="AD23" s="13"/>
      <c r="AE23" s="13"/>
      <c r="AF23" s="13"/>
      <c r="AG23" s="13"/>
      <c r="AH23" s="13"/>
      <c r="AI23" s="13"/>
      <c r="AJ23" s="13"/>
      <c r="AK23" s="13"/>
      <c r="AL23" s="13"/>
      <c r="AM23" s="13"/>
      <c r="AN23" s="13"/>
      <c r="AO23" s="13"/>
    </row>
    <row r="24" spans="21:41" x14ac:dyDescent="0.25">
      <c r="U24" s="13"/>
      <c r="V24" s="13"/>
      <c r="W24" s="13" t="s">
        <v>1015</v>
      </c>
      <c r="X24" s="13"/>
      <c r="Y24" s="13"/>
      <c r="Z24" s="13"/>
      <c r="AA24" s="13"/>
      <c r="AB24" s="13"/>
      <c r="AC24" s="13"/>
      <c r="AD24" s="13"/>
      <c r="AE24" s="13"/>
      <c r="AF24" s="13"/>
      <c r="AG24" s="13"/>
      <c r="AH24" s="13"/>
      <c r="AI24" s="13"/>
      <c r="AJ24" s="13"/>
      <c r="AK24" s="13"/>
      <c r="AL24" s="13"/>
      <c r="AM24" s="13"/>
      <c r="AN24" s="13"/>
      <c r="AO24" s="13"/>
    </row>
    <row r="25" spans="21:41" x14ac:dyDescent="0.25">
      <c r="U25" s="13"/>
      <c r="V25" s="13"/>
      <c r="W25" s="13"/>
      <c r="X25" s="13"/>
      <c r="Y25" s="13"/>
      <c r="Z25" s="13"/>
      <c r="AA25" s="13"/>
      <c r="AB25" s="13"/>
      <c r="AC25" s="13"/>
      <c r="AD25" s="13"/>
      <c r="AE25" s="13"/>
      <c r="AF25" s="13"/>
      <c r="AG25" s="13"/>
      <c r="AH25" s="13"/>
      <c r="AI25" s="13"/>
      <c r="AJ25" s="13"/>
      <c r="AK25" s="13"/>
      <c r="AL25" s="13"/>
      <c r="AM25" s="13"/>
      <c r="AN25" s="13"/>
      <c r="AO25" s="13"/>
    </row>
    <row r="26" spans="21:41" x14ac:dyDescent="0.25">
      <c r="U26" s="13"/>
      <c r="V26"/>
      <c r="W26" s="13"/>
      <c r="X26" s="13"/>
      <c r="Y26" s="13"/>
      <c r="Z26" s="13"/>
      <c r="AA26" s="13"/>
      <c r="AB26" s="13"/>
      <c r="AC26" s="13"/>
      <c r="AD26" s="13"/>
      <c r="AE26" s="13"/>
      <c r="AF26" s="13"/>
      <c r="AG26" s="13"/>
      <c r="AH26" s="13"/>
      <c r="AI26" s="13"/>
      <c r="AJ26" s="13"/>
      <c r="AK26" s="13"/>
      <c r="AL26" s="13"/>
      <c r="AM26" s="13"/>
      <c r="AN26" s="13"/>
      <c r="AO26" s="13"/>
    </row>
    <row r="27" spans="21:41" x14ac:dyDescent="0.25">
      <c r="U27" s="13"/>
      <c r="V27" s="13"/>
      <c r="W27" s="13"/>
      <c r="X27" s="13"/>
      <c r="Y27" s="13"/>
      <c r="Z27" s="13"/>
      <c r="AA27" s="13"/>
      <c r="AB27" s="13"/>
      <c r="AC27" s="13"/>
      <c r="AD27" s="13"/>
      <c r="AE27" s="13"/>
      <c r="AF27" s="13"/>
      <c r="AG27" s="13"/>
      <c r="AH27" s="13"/>
      <c r="AI27" s="13"/>
      <c r="AJ27" s="13"/>
      <c r="AK27" s="13"/>
      <c r="AL27" s="13"/>
      <c r="AM27" s="13"/>
      <c r="AN27" s="13"/>
      <c r="AO27" s="13"/>
    </row>
    <row r="28" spans="21:41" x14ac:dyDescent="0.25">
      <c r="U28" s="13"/>
      <c r="V28" s="13"/>
      <c r="W28" s="13"/>
      <c r="X28" s="13"/>
      <c r="Y28" s="13"/>
      <c r="Z28" s="13"/>
      <c r="AA28" s="13"/>
      <c r="AB28" s="13"/>
      <c r="AC28" s="13"/>
      <c r="AD28" s="13"/>
      <c r="AE28" s="13"/>
      <c r="AF28" s="13"/>
      <c r="AG28" s="13"/>
      <c r="AH28" s="13"/>
      <c r="AI28" s="13"/>
      <c r="AJ28" s="13"/>
      <c r="AK28" s="13"/>
      <c r="AL28" s="13"/>
      <c r="AM28" s="13"/>
      <c r="AN28" s="13"/>
      <c r="AO28" s="13"/>
    </row>
    <row r="29" spans="21:41" x14ac:dyDescent="0.25">
      <c r="U29" s="13"/>
      <c r="V29" s="13"/>
      <c r="W29" s="13"/>
      <c r="X29" s="13"/>
      <c r="Y29" s="13"/>
      <c r="Z29" s="13"/>
      <c r="AA29" s="13"/>
      <c r="AB29" s="13"/>
      <c r="AC29" s="13"/>
      <c r="AD29" s="13"/>
      <c r="AE29" s="13"/>
      <c r="AF29" s="13"/>
      <c r="AG29" s="13"/>
      <c r="AH29" s="13"/>
      <c r="AI29" s="13"/>
      <c r="AJ29" s="13"/>
      <c r="AK29" s="13"/>
      <c r="AL29" s="13"/>
      <c r="AM29" s="13"/>
      <c r="AN29" s="13"/>
      <c r="AO29" s="13"/>
    </row>
    <row r="30" spans="21:41" x14ac:dyDescent="0.25">
      <c r="U30" s="13"/>
      <c r="V30" s="13"/>
      <c r="W30" s="13"/>
      <c r="X30" s="13"/>
      <c r="Y30" s="13"/>
      <c r="Z30" s="13"/>
      <c r="AA30" s="13"/>
      <c r="AB30" s="13"/>
      <c r="AC30" s="13"/>
      <c r="AD30" s="13"/>
      <c r="AE30" s="13"/>
      <c r="AF30" s="13"/>
      <c r="AG30" s="13"/>
      <c r="AH30" s="13"/>
      <c r="AI30" s="13"/>
      <c r="AJ30" s="13"/>
      <c r="AK30" s="13"/>
      <c r="AL30" s="13"/>
      <c r="AM30" s="13"/>
      <c r="AN30" s="13"/>
      <c r="AO30" s="13"/>
    </row>
    <row r="31" spans="21:41" x14ac:dyDescent="0.25">
      <c r="U31" s="13"/>
      <c r="V31" s="13"/>
      <c r="W31" s="13"/>
      <c r="X31" s="13"/>
      <c r="Y31" s="13"/>
      <c r="Z31" s="13"/>
      <c r="AA31" s="13"/>
      <c r="AB31" s="13"/>
      <c r="AC31" s="13"/>
      <c r="AD31" s="13"/>
      <c r="AE31" s="13"/>
      <c r="AF31" s="13"/>
      <c r="AG31" s="13"/>
      <c r="AH31" s="13"/>
      <c r="AI31" s="13"/>
      <c r="AJ31" s="13"/>
      <c r="AK31" s="13"/>
      <c r="AL31" s="13"/>
      <c r="AM31" s="13"/>
      <c r="AN31" s="13"/>
      <c r="AO31" s="13"/>
    </row>
    <row r="32" spans="21:41" x14ac:dyDescent="0.25">
      <c r="U32" s="13"/>
      <c r="V32" s="13"/>
      <c r="W32" s="13"/>
      <c r="X32" s="13"/>
      <c r="Y32" s="13"/>
      <c r="Z32" s="13"/>
      <c r="AA32" s="13"/>
      <c r="AB32" s="13"/>
      <c r="AC32" s="13"/>
      <c r="AD32" s="13"/>
      <c r="AE32" s="13"/>
      <c r="AF32" s="13"/>
      <c r="AG32" s="13"/>
      <c r="AH32" s="13"/>
      <c r="AI32" s="13"/>
      <c r="AJ32" s="13"/>
      <c r="AK32" s="13"/>
      <c r="AL32" s="13"/>
      <c r="AM32" s="13"/>
      <c r="AN32" s="13"/>
      <c r="AO32" s="13"/>
    </row>
    <row r="33" spans="21:41" x14ac:dyDescent="0.25">
      <c r="U33" s="13"/>
      <c r="V33" s="13"/>
      <c r="W33" s="13"/>
      <c r="X33" s="13"/>
      <c r="Y33" s="13"/>
      <c r="Z33" s="13"/>
      <c r="AA33" s="13"/>
      <c r="AB33" s="13"/>
      <c r="AC33" s="13"/>
      <c r="AD33" s="13"/>
      <c r="AE33" s="13"/>
      <c r="AF33" s="13"/>
      <c r="AG33" s="13"/>
      <c r="AH33" s="13"/>
      <c r="AI33" s="13"/>
      <c r="AJ33" s="13"/>
      <c r="AK33" s="13"/>
      <c r="AL33" s="13"/>
      <c r="AM33" s="13"/>
      <c r="AN33" s="13"/>
      <c r="AO33" s="13"/>
    </row>
    <row r="34" spans="21:41" x14ac:dyDescent="0.25">
      <c r="U34" s="13"/>
      <c r="V34" s="13"/>
      <c r="W34" s="13"/>
      <c r="X34" s="13"/>
      <c r="Y34" s="13"/>
      <c r="Z34" s="13"/>
      <c r="AA34" s="13"/>
      <c r="AB34" s="13"/>
      <c r="AC34" s="13"/>
      <c r="AD34" s="13"/>
      <c r="AE34" s="13"/>
      <c r="AF34" s="13"/>
      <c r="AG34" s="13"/>
      <c r="AH34" s="13"/>
      <c r="AI34" s="13"/>
      <c r="AJ34" s="13"/>
      <c r="AK34" s="13"/>
      <c r="AL34" s="13"/>
      <c r="AM34" s="13"/>
      <c r="AN34" s="13"/>
      <c r="AO34" s="13"/>
    </row>
    <row r="35" spans="21:41" x14ac:dyDescent="0.25">
      <c r="U35" s="13"/>
      <c r="V35" s="13"/>
      <c r="W35" s="13"/>
      <c r="X35" s="13"/>
      <c r="Y35" s="13"/>
      <c r="Z35" s="13"/>
      <c r="AA35" s="13"/>
      <c r="AB35" s="13"/>
      <c r="AC35" s="13"/>
      <c r="AD35" s="13"/>
      <c r="AE35" s="13"/>
      <c r="AF35" s="13"/>
      <c r="AG35" s="13"/>
      <c r="AH35" s="13"/>
      <c r="AI35" s="13"/>
      <c r="AJ35" s="13"/>
      <c r="AK35" s="13"/>
      <c r="AL35" s="13"/>
      <c r="AM35" s="13"/>
      <c r="AN35" s="13"/>
      <c r="AO35" s="13"/>
    </row>
    <row r="36" spans="21:41" x14ac:dyDescent="0.25">
      <c r="U36" s="13"/>
      <c r="V36" s="13"/>
      <c r="W36" s="13"/>
      <c r="X36" s="13"/>
      <c r="Y36" s="13"/>
      <c r="Z36" s="13"/>
      <c r="AA36" s="13"/>
      <c r="AB36" s="13"/>
      <c r="AC36" s="13"/>
      <c r="AD36" s="13"/>
      <c r="AE36" s="13"/>
      <c r="AF36" s="13"/>
      <c r="AG36" s="13"/>
      <c r="AH36" s="13"/>
      <c r="AI36" s="13"/>
      <c r="AJ36" s="13"/>
      <c r="AK36" s="13"/>
      <c r="AL36" s="13"/>
      <c r="AM36" s="13"/>
      <c r="AN36" s="13"/>
      <c r="AO36" s="13"/>
    </row>
    <row r="37" spans="21:41" x14ac:dyDescent="0.25">
      <c r="U37" s="13"/>
      <c r="V37" s="13"/>
      <c r="W37" s="13"/>
      <c r="X37" s="13"/>
      <c r="Y37" s="13"/>
      <c r="Z37" s="13"/>
      <c r="AA37" s="13"/>
      <c r="AB37" s="13"/>
      <c r="AC37" s="13"/>
      <c r="AD37" s="13"/>
      <c r="AE37" s="13"/>
      <c r="AF37" s="13"/>
      <c r="AG37" s="13"/>
      <c r="AH37" s="13"/>
      <c r="AI37" s="13"/>
      <c r="AJ37" s="13"/>
      <c r="AK37" s="13"/>
      <c r="AL37" s="13"/>
      <c r="AM37" s="13"/>
      <c r="AN37" s="13"/>
      <c r="AO37" s="13"/>
    </row>
    <row r="38" spans="21:41" x14ac:dyDescent="0.25">
      <c r="U38" s="13"/>
      <c r="V38" s="13"/>
      <c r="W38" s="13"/>
      <c r="X38" s="13"/>
      <c r="Y38" s="13"/>
      <c r="Z38" s="13"/>
      <c r="AA38" s="13"/>
      <c r="AB38" s="13"/>
      <c r="AC38" s="13"/>
      <c r="AD38" s="13"/>
      <c r="AE38" s="13"/>
      <c r="AF38" s="13"/>
      <c r="AG38" s="13"/>
      <c r="AH38" s="13"/>
      <c r="AI38" s="13"/>
      <c r="AJ38" s="13"/>
      <c r="AK38" s="13"/>
      <c r="AL38" s="13"/>
      <c r="AM38" s="13"/>
      <c r="AN38" s="13"/>
      <c r="AO38" s="13"/>
    </row>
    <row r="39" spans="21:41" x14ac:dyDescent="0.25">
      <c r="U39" s="13"/>
      <c r="V39" s="13"/>
      <c r="W39" s="13"/>
      <c r="X39" s="13"/>
      <c r="Y39" s="13"/>
      <c r="Z39" s="13"/>
      <c r="AA39" s="13"/>
      <c r="AB39" s="13"/>
      <c r="AC39" s="13"/>
      <c r="AD39" s="13"/>
      <c r="AE39" s="13"/>
      <c r="AF39" s="13"/>
      <c r="AG39" s="13"/>
      <c r="AH39" s="13"/>
      <c r="AI39" s="13"/>
      <c r="AJ39" s="13"/>
      <c r="AK39" s="13"/>
      <c r="AL39" s="13"/>
      <c r="AM39" s="13"/>
      <c r="AN39" s="13"/>
      <c r="AO39" s="13"/>
    </row>
    <row r="40" spans="21:41" x14ac:dyDescent="0.25">
      <c r="U40" s="13"/>
      <c r="V40" s="13"/>
      <c r="W40" s="13"/>
      <c r="X40" s="13"/>
      <c r="Y40" s="13"/>
      <c r="Z40" s="13"/>
      <c r="AA40" s="13"/>
      <c r="AB40" s="13"/>
      <c r="AC40" s="13"/>
      <c r="AD40" s="13"/>
      <c r="AE40" s="13"/>
      <c r="AF40" s="13"/>
      <c r="AG40" s="13"/>
      <c r="AH40" s="13"/>
      <c r="AI40" s="13"/>
      <c r="AJ40" s="13"/>
      <c r="AK40" s="13"/>
      <c r="AL40" s="13"/>
      <c r="AM40" s="13"/>
      <c r="AN40" s="13"/>
      <c r="AO40" s="13"/>
    </row>
    <row r="41" spans="21:41" x14ac:dyDescent="0.25">
      <c r="U41" s="13"/>
      <c r="V41" s="13"/>
      <c r="W41" s="13"/>
      <c r="X41" s="13"/>
      <c r="Y41" s="13"/>
      <c r="Z41" s="13"/>
      <c r="AA41" s="13"/>
      <c r="AB41" s="13"/>
      <c r="AC41" s="13"/>
      <c r="AD41" s="13"/>
      <c r="AE41" s="13"/>
      <c r="AF41" s="13"/>
      <c r="AG41" s="13"/>
      <c r="AH41" s="13"/>
      <c r="AI41" s="13"/>
      <c r="AJ41" s="13"/>
      <c r="AK41" s="13"/>
      <c r="AL41" s="13"/>
      <c r="AM41" s="13"/>
      <c r="AN41" s="13"/>
      <c r="AO41" s="13"/>
    </row>
    <row r="42" spans="21:41" x14ac:dyDescent="0.25">
      <c r="U42" s="13"/>
      <c r="V42" s="13"/>
      <c r="W42" s="13"/>
      <c r="X42" s="13"/>
      <c r="Y42" s="13"/>
      <c r="Z42" s="13"/>
      <c r="AA42" s="13"/>
      <c r="AB42" s="13"/>
      <c r="AC42" s="13"/>
      <c r="AD42" s="13"/>
      <c r="AE42" s="13"/>
      <c r="AF42" s="13"/>
      <c r="AG42" s="13"/>
      <c r="AH42" s="13"/>
      <c r="AI42" s="13"/>
      <c r="AJ42" s="13"/>
      <c r="AK42" s="13"/>
      <c r="AL42" s="13"/>
      <c r="AM42" s="13"/>
      <c r="AN42" s="13"/>
      <c r="AO42" s="13"/>
    </row>
    <row r="43" spans="21:41" x14ac:dyDescent="0.25">
      <c r="U43" s="13"/>
      <c r="V43" s="13"/>
      <c r="W43" s="13"/>
      <c r="X43" s="13"/>
      <c r="Y43" s="13"/>
      <c r="Z43" s="13"/>
      <c r="AA43" s="13"/>
      <c r="AB43" s="13"/>
      <c r="AC43" s="13"/>
      <c r="AD43" s="13"/>
      <c r="AE43" s="13"/>
      <c r="AF43" s="13"/>
      <c r="AG43" s="13"/>
      <c r="AH43" s="13"/>
      <c r="AI43" s="13"/>
      <c r="AJ43" s="13"/>
      <c r="AK43" s="13"/>
      <c r="AL43" s="13"/>
      <c r="AM43" s="13"/>
      <c r="AN43" s="13"/>
      <c r="AO43" s="13"/>
    </row>
    <row r="44" spans="21:41" x14ac:dyDescent="0.25">
      <c r="U44" s="13"/>
      <c r="V44" s="13"/>
      <c r="W44" s="13"/>
      <c r="X44" s="13"/>
      <c r="Y44" s="13"/>
      <c r="Z44" s="13"/>
      <c r="AA44" s="13"/>
      <c r="AB44" s="13"/>
      <c r="AC44" s="13"/>
      <c r="AD44" s="13"/>
      <c r="AE44" s="13"/>
      <c r="AF44" s="13"/>
      <c r="AG44" s="13"/>
      <c r="AH44" s="13"/>
      <c r="AI44" s="13"/>
      <c r="AJ44" s="13"/>
      <c r="AK44" s="13"/>
      <c r="AL44" s="13"/>
      <c r="AM44" s="13"/>
      <c r="AN44" s="13"/>
      <c r="AO44" s="13"/>
    </row>
    <row r="45" spans="21:41" x14ac:dyDescent="0.25">
      <c r="U45" s="13"/>
      <c r="V45" s="13"/>
      <c r="W45" s="13"/>
      <c r="X45" s="13"/>
      <c r="Y45" s="13"/>
      <c r="Z45" s="13"/>
      <c r="AA45" s="13"/>
      <c r="AB45" s="13"/>
      <c r="AC45" s="13"/>
      <c r="AD45" s="13"/>
      <c r="AE45" s="13"/>
      <c r="AF45" s="13"/>
      <c r="AG45" s="13"/>
      <c r="AH45" s="13"/>
      <c r="AI45" s="13"/>
      <c r="AJ45" s="13"/>
      <c r="AK45" s="13"/>
      <c r="AL45" s="13"/>
      <c r="AM45" s="13"/>
      <c r="AN45" s="13"/>
      <c r="AO45" s="13"/>
    </row>
    <row r="46" spans="21:41" x14ac:dyDescent="0.25">
      <c r="U46" s="13"/>
      <c r="V46" s="13"/>
      <c r="W46" s="13"/>
      <c r="X46" s="13"/>
      <c r="Y46" s="13"/>
      <c r="Z46" s="13"/>
      <c r="AA46" s="13"/>
      <c r="AB46" s="13"/>
      <c r="AC46" s="13"/>
      <c r="AD46" s="13"/>
      <c r="AE46" s="13"/>
      <c r="AF46" s="13"/>
      <c r="AG46" s="13"/>
      <c r="AH46" s="13"/>
      <c r="AI46" s="13"/>
      <c r="AJ46" s="13"/>
      <c r="AK46" s="13"/>
      <c r="AL46" s="13"/>
      <c r="AM46" s="13"/>
      <c r="AN46" s="13"/>
      <c r="AO46" s="13"/>
    </row>
    <row r="47" spans="21:41" x14ac:dyDescent="0.25">
      <c r="U47" s="13"/>
      <c r="V47" s="13"/>
      <c r="W47" s="13"/>
      <c r="X47" s="13"/>
      <c r="Y47" s="13"/>
      <c r="Z47" s="13"/>
      <c r="AA47" s="13"/>
      <c r="AB47" s="13"/>
      <c r="AC47" s="13"/>
      <c r="AD47" s="13"/>
      <c r="AE47" s="13"/>
      <c r="AF47" s="13"/>
      <c r="AG47" s="13"/>
      <c r="AH47" s="13"/>
      <c r="AI47" s="13"/>
      <c r="AJ47" s="13"/>
      <c r="AK47" s="13"/>
      <c r="AL47" s="13"/>
      <c r="AM47" s="13"/>
      <c r="AN47" s="13"/>
      <c r="AO47" s="13"/>
    </row>
    <row r="48" spans="21:41" x14ac:dyDescent="0.25">
      <c r="U48" s="13"/>
      <c r="V48" s="13"/>
      <c r="W48" s="13"/>
      <c r="X48" s="13"/>
      <c r="Y48" s="13"/>
      <c r="Z48" s="13"/>
      <c r="AA48" s="13"/>
      <c r="AB48" s="13"/>
      <c r="AC48" s="13"/>
      <c r="AD48" s="13"/>
      <c r="AE48" s="13"/>
      <c r="AF48" s="13"/>
      <c r="AG48" s="13"/>
      <c r="AH48" s="13"/>
      <c r="AI48" s="13"/>
      <c r="AJ48" s="13"/>
      <c r="AK48" s="13"/>
      <c r="AL48" s="13"/>
      <c r="AM48" s="13"/>
      <c r="AN48" s="13"/>
      <c r="AO48" s="13"/>
    </row>
    <row r="49" spans="21:41" x14ac:dyDescent="0.25">
      <c r="U49" s="13"/>
      <c r="V49" s="13"/>
      <c r="W49" s="13"/>
      <c r="X49" s="13"/>
      <c r="Y49" s="13"/>
      <c r="Z49" s="13"/>
      <c r="AA49" s="13"/>
      <c r="AB49" s="13"/>
      <c r="AC49" s="13"/>
      <c r="AD49" s="13"/>
      <c r="AE49" s="13"/>
      <c r="AF49" s="13"/>
      <c r="AG49" s="13"/>
      <c r="AH49" s="13"/>
      <c r="AI49" s="13"/>
      <c r="AJ49" s="13"/>
      <c r="AK49" s="13"/>
      <c r="AL49" s="13"/>
      <c r="AM49" s="13"/>
      <c r="AN49" s="13"/>
      <c r="AO49" s="13"/>
    </row>
    <row r="50" spans="21:41" x14ac:dyDescent="0.25">
      <c r="U50" s="13"/>
      <c r="V50" s="13"/>
      <c r="W50" s="13"/>
      <c r="X50" s="13"/>
      <c r="Y50" s="13"/>
      <c r="Z50" s="13"/>
      <c r="AA50" s="13"/>
      <c r="AB50" s="13"/>
      <c r="AC50" s="13"/>
      <c r="AD50" s="13"/>
      <c r="AE50" s="13"/>
      <c r="AF50" s="13"/>
      <c r="AG50" s="13"/>
      <c r="AH50" s="13"/>
      <c r="AI50" s="13"/>
      <c r="AJ50" s="13"/>
      <c r="AK50" s="13"/>
      <c r="AL50" s="13"/>
      <c r="AM50" s="13"/>
      <c r="AN50" s="13"/>
      <c r="AO50" s="13"/>
    </row>
    <row r="51" spans="21:41" x14ac:dyDescent="0.25">
      <c r="U51" s="13"/>
      <c r="V51" s="13"/>
      <c r="W51" s="13"/>
      <c r="X51" s="13"/>
      <c r="Y51" s="13"/>
      <c r="Z51" s="13"/>
      <c r="AA51" s="13"/>
      <c r="AB51" s="13"/>
      <c r="AC51" s="13"/>
      <c r="AD51" s="13"/>
      <c r="AE51" s="13"/>
      <c r="AF51" s="13"/>
      <c r="AG51" s="13"/>
      <c r="AH51" s="13"/>
      <c r="AI51" s="13"/>
      <c r="AJ51" s="13"/>
      <c r="AK51" s="13"/>
      <c r="AL51" s="13"/>
      <c r="AM51" s="13"/>
      <c r="AN51" s="13"/>
      <c r="AO51" s="13"/>
    </row>
    <row r="52" spans="21:41" x14ac:dyDescent="0.25">
      <c r="U52" s="13"/>
      <c r="V52" s="13"/>
      <c r="W52" s="13"/>
      <c r="X52" s="13"/>
      <c r="Y52" s="13"/>
      <c r="Z52" s="13"/>
      <c r="AA52" s="13"/>
      <c r="AB52" s="13"/>
      <c r="AC52" s="13"/>
      <c r="AD52" s="13"/>
      <c r="AE52" s="13"/>
      <c r="AF52" s="13"/>
      <c r="AG52" s="13"/>
      <c r="AH52" s="13"/>
      <c r="AI52" s="13"/>
      <c r="AJ52" s="13"/>
      <c r="AK52" s="13"/>
      <c r="AL52" s="13"/>
      <c r="AM52" s="13"/>
      <c r="AN52" s="13"/>
      <c r="AO52" s="13"/>
    </row>
    <row r="53" spans="21:41" x14ac:dyDescent="0.25">
      <c r="U53" s="13"/>
      <c r="V53" s="13"/>
      <c r="W53" s="13"/>
      <c r="X53" s="13"/>
      <c r="Y53" s="13"/>
      <c r="Z53" s="13"/>
      <c r="AA53" s="13"/>
      <c r="AB53" s="13"/>
      <c r="AC53" s="13"/>
      <c r="AD53" s="13"/>
      <c r="AE53" s="13"/>
      <c r="AF53" s="13"/>
      <c r="AG53" s="13"/>
      <c r="AH53" s="13"/>
      <c r="AI53" s="13"/>
      <c r="AJ53" s="13"/>
      <c r="AK53" s="13"/>
      <c r="AL53" s="13"/>
      <c r="AM53" s="13"/>
      <c r="AN53" s="13"/>
      <c r="AO53" s="13"/>
    </row>
    <row r="54" spans="21:41" x14ac:dyDescent="0.25">
      <c r="U54" s="13"/>
      <c r="V54" s="13"/>
      <c r="W54" s="13"/>
      <c r="X54" s="13"/>
      <c r="Y54" s="13"/>
      <c r="Z54" s="13"/>
      <c r="AA54" s="13"/>
      <c r="AB54" s="13"/>
      <c r="AC54" s="13"/>
      <c r="AD54" s="13"/>
      <c r="AE54" s="13"/>
      <c r="AF54" s="13"/>
      <c r="AG54" s="13"/>
      <c r="AH54" s="13"/>
      <c r="AI54" s="13"/>
      <c r="AJ54" s="13"/>
      <c r="AK54" s="13"/>
      <c r="AL54" s="13"/>
      <c r="AM54" s="13"/>
      <c r="AN54" s="13"/>
      <c r="AO54" s="13"/>
    </row>
    <row r="55" spans="21:41" x14ac:dyDescent="0.25">
      <c r="U55" s="13"/>
      <c r="V55" s="13"/>
      <c r="W55" s="13"/>
      <c r="X55" s="13"/>
      <c r="Y55" s="13"/>
      <c r="Z55" s="13"/>
      <c r="AA55" s="13"/>
      <c r="AB55" s="13"/>
      <c r="AC55" s="13"/>
      <c r="AD55" s="13"/>
      <c r="AE55" s="13"/>
      <c r="AF55" s="13"/>
      <c r="AG55" s="13"/>
      <c r="AH55" s="13"/>
      <c r="AI55" s="13"/>
      <c r="AJ55" s="13"/>
      <c r="AK55" s="13"/>
      <c r="AL55" s="13"/>
      <c r="AM55" s="13"/>
      <c r="AN55" s="13"/>
      <c r="AO55" s="13"/>
    </row>
    <row r="56" spans="21:41" x14ac:dyDescent="0.25">
      <c r="U56" s="13"/>
      <c r="V56" s="13"/>
      <c r="W56" s="13"/>
      <c r="X56" s="13"/>
      <c r="Y56" s="13"/>
      <c r="Z56" s="13"/>
      <c r="AA56" s="13"/>
      <c r="AB56" s="13"/>
      <c r="AC56" s="13"/>
      <c r="AD56" s="13"/>
      <c r="AE56" s="13"/>
      <c r="AF56" s="13"/>
      <c r="AG56" s="13"/>
      <c r="AH56" s="13"/>
      <c r="AI56" s="13"/>
      <c r="AJ56" s="13"/>
      <c r="AK56" s="13"/>
      <c r="AL56" s="13"/>
      <c r="AM56" s="13"/>
      <c r="AN56" s="13"/>
      <c r="AO56" s="13"/>
    </row>
    <row r="57" spans="21:41" x14ac:dyDescent="0.25">
      <c r="U57" s="13"/>
      <c r="V57" s="13"/>
      <c r="W57" s="13"/>
      <c r="X57" s="13"/>
      <c r="Y57" s="13"/>
      <c r="Z57" s="13"/>
      <c r="AA57" s="13"/>
      <c r="AB57" s="13"/>
      <c r="AC57" s="13"/>
      <c r="AD57" s="13"/>
      <c r="AE57" s="13"/>
      <c r="AF57" s="13"/>
      <c r="AG57" s="13"/>
      <c r="AH57" s="13"/>
      <c r="AI57" s="13"/>
      <c r="AJ57" s="13"/>
      <c r="AK57" s="13"/>
      <c r="AL57" s="13"/>
      <c r="AM57" s="13"/>
      <c r="AN57" s="13"/>
      <c r="AO57" s="13"/>
    </row>
    <row r="58" spans="21:41" x14ac:dyDescent="0.25">
      <c r="U58" s="13"/>
      <c r="V58" s="13"/>
      <c r="W58" s="13"/>
      <c r="X58" s="13"/>
      <c r="Y58" s="13"/>
      <c r="Z58" s="13"/>
      <c r="AA58" s="13"/>
      <c r="AB58" s="13"/>
      <c r="AC58" s="13"/>
      <c r="AD58" s="13"/>
      <c r="AE58" s="13"/>
      <c r="AF58" s="13"/>
      <c r="AG58" s="13"/>
      <c r="AH58" s="13"/>
      <c r="AI58" s="13"/>
      <c r="AJ58" s="13"/>
      <c r="AK58" s="13"/>
      <c r="AL58" s="13"/>
      <c r="AM58" s="13"/>
      <c r="AN58" s="13"/>
      <c r="AO58" s="13"/>
    </row>
    <row r="59" spans="21:41" x14ac:dyDescent="0.25">
      <c r="U59" s="13"/>
      <c r="V59" s="13"/>
      <c r="W59" s="13"/>
      <c r="X59" s="13"/>
      <c r="Y59" s="13"/>
      <c r="Z59" s="13"/>
      <c r="AA59" s="13"/>
      <c r="AB59" s="13"/>
      <c r="AC59" s="13"/>
      <c r="AD59" s="13"/>
      <c r="AE59" s="13"/>
      <c r="AF59" s="13"/>
      <c r="AG59" s="13"/>
      <c r="AH59" s="13"/>
      <c r="AI59" s="13"/>
      <c r="AJ59" s="13"/>
      <c r="AK59" s="13"/>
      <c r="AL59" s="13"/>
      <c r="AM59" s="13"/>
      <c r="AN59" s="13"/>
      <c r="AO59" s="13"/>
    </row>
    <row r="60" spans="21:41" x14ac:dyDescent="0.25">
      <c r="U60" s="13"/>
      <c r="V60" s="13"/>
      <c r="W60" s="13"/>
      <c r="X60" s="13"/>
      <c r="Y60" s="13"/>
      <c r="Z60" s="13"/>
      <c r="AA60" s="13"/>
      <c r="AB60" s="13"/>
      <c r="AC60" s="13"/>
      <c r="AD60" s="13"/>
      <c r="AE60" s="13"/>
      <c r="AF60" s="13"/>
      <c r="AG60" s="13"/>
      <c r="AH60" s="13"/>
      <c r="AI60" s="13"/>
      <c r="AJ60" s="13"/>
      <c r="AK60" s="13"/>
      <c r="AL60" s="13"/>
      <c r="AM60" s="13"/>
      <c r="AN60" s="13"/>
      <c r="AO60" s="13"/>
    </row>
    <row r="61" spans="21:41" x14ac:dyDescent="0.25">
      <c r="U61" s="13"/>
      <c r="V61" s="13"/>
      <c r="W61" s="13"/>
      <c r="X61" s="13"/>
      <c r="Y61" s="13"/>
      <c r="Z61" s="13"/>
      <c r="AA61" s="13"/>
      <c r="AB61" s="13"/>
      <c r="AC61" s="13"/>
      <c r="AD61" s="13"/>
      <c r="AE61" s="13"/>
      <c r="AF61" s="13"/>
      <c r="AG61" s="13"/>
      <c r="AH61" s="13"/>
      <c r="AI61" s="13"/>
      <c r="AJ61" s="13"/>
      <c r="AK61" s="13"/>
      <c r="AL61" s="13"/>
      <c r="AM61" s="13"/>
      <c r="AN61" s="13"/>
      <c r="AO61" s="13"/>
    </row>
    <row r="62" spans="21:41" x14ac:dyDescent="0.25">
      <c r="U62" s="13"/>
      <c r="V62" s="13"/>
      <c r="W62" s="13"/>
      <c r="X62" s="13"/>
      <c r="Y62" s="13"/>
      <c r="Z62" s="13"/>
      <c r="AA62" s="13"/>
      <c r="AB62" s="13"/>
      <c r="AC62" s="13"/>
      <c r="AD62" s="13"/>
      <c r="AE62" s="13"/>
      <c r="AF62" s="13"/>
      <c r="AG62" s="13"/>
      <c r="AH62" s="13"/>
      <c r="AI62" s="13"/>
      <c r="AJ62" s="13"/>
      <c r="AK62" s="13"/>
      <c r="AL62" s="13"/>
      <c r="AM62" s="13"/>
      <c r="AN62" s="13"/>
      <c r="AO62" s="13"/>
    </row>
    <row r="63" spans="21:41" x14ac:dyDescent="0.25">
      <c r="U63" s="13"/>
      <c r="V63" s="13"/>
      <c r="W63" s="13"/>
      <c r="X63" s="13"/>
      <c r="Y63" s="13"/>
      <c r="Z63" s="13"/>
      <c r="AA63" s="13"/>
      <c r="AB63" s="13"/>
      <c r="AC63" s="13"/>
      <c r="AD63" s="13"/>
      <c r="AE63" s="13"/>
      <c r="AF63" s="13"/>
      <c r="AG63" s="13"/>
      <c r="AH63" s="13"/>
      <c r="AI63" s="13"/>
      <c r="AJ63" s="13"/>
      <c r="AK63" s="13"/>
      <c r="AL63" s="13"/>
      <c r="AM63" s="13"/>
      <c r="AN63" s="13"/>
      <c r="AO63" s="13"/>
    </row>
    <row r="64" spans="21:41" x14ac:dyDescent="0.25">
      <c r="U64" s="13"/>
      <c r="V64" s="13"/>
      <c r="W64" s="13"/>
      <c r="X64" s="13"/>
      <c r="Y64" s="13"/>
      <c r="Z64" s="13"/>
      <c r="AA64" s="13"/>
      <c r="AB64" s="13"/>
      <c r="AC64" s="13"/>
      <c r="AD64" s="13"/>
      <c r="AE64" s="13"/>
      <c r="AF64" s="13"/>
      <c r="AG64" s="13"/>
      <c r="AH64" s="13"/>
      <c r="AI64" s="13"/>
      <c r="AJ64" s="13"/>
      <c r="AK64" s="13"/>
      <c r="AL64" s="13"/>
      <c r="AM64" s="13"/>
      <c r="AN64" s="13"/>
      <c r="AO64" s="13"/>
    </row>
    <row r="65" spans="21:41" x14ac:dyDescent="0.25">
      <c r="U65" s="13"/>
      <c r="V65" s="13"/>
      <c r="W65" s="13"/>
      <c r="X65" s="13"/>
      <c r="Y65" s="13"/>
      <c r="Z65" s="13"/>
      <c r="AA65" s="13"/>
      <c r="AB65" s="13"/>
      <c r="AC65" s="13"/>
      <c r="AD65" s="13"/>
      <c r="AE65" s="13"/>
      <c r="AF65" s="13"/>
      <c r="AG65" s="13"/>
      <c r="AH65" s="13"/>
      <c r="AI65" s="13"/>
      <c r="AJ65" s="13"/>
      <c r="AK65" s="13"/>
      <c r="AL65" s="13"/>
      <c r="AM65" s="13"/>
      <c r="AN65" s="13"/>
      <c r="AO65" s="13"/>
    </row>
    <row r="66" spans="21:41" x14ac:dyDescent="0.25">
      <c r="U66" s="13"/>
      <c r="V66" s="13"/>
      <c r="W66" s="13"/>
      <c r="X66" s="13"/>
      <c r="Y66" s="13"/>
      <c r="Z66" s="13"/>
      <c r="AA66" s="13"/>
      <c r="AB66" s="13"/>
      <c r="AC66" s="13"/>
      <c r="AD66" s="13"/>
      <c r="AE66" s="13"/>
      <c r="AF66" s="13"/>
      <c r="AG66" s="13"/>
      <c r="AH66" s="13"/>
      <c r="AI66" s="13"/>
      <c r="AJ66" s="13"/>
      <c r="AK66" s="13"/>
      <c r="AL66" s="13"/>
      <c r="AM66" s="13"/>
      <c r="AN66" s="13"/>
      <c r="AO66" s="13"/>
    </row>
    <row r="67" spans="21:41" x14ac:dyDescent="0.25">
      <c r="U67" s="13"/>
      <c r="V67" s="13"/>
      <c r="W67" s="13"/>
      <c r="X67" s="13"/>
      <c r="Y67" s="13"/>
      <c r="Z67" s="13"/>
      <c r="AA67" s="13"/>
      <c r="AB67" s="13"/>
      <c r="AC67" s="13"/>
      <c r="AD67" s="13"/>
      <c r="AE67" s="13"/>
      <c r="AF67" s="13"/>
      <c r="AG67" s="13"/>
      <c r="AH67" s="13"/>
      <c r="AI67" s="13"/>
      <c r="AJ67" s="13"/>
      <c r="AK67" s="13"/>
      <c r="AL67" s="13"/>
      <c r="AM67" s="13"/>
      <c r="AN67" s="13"/>
      <c r="AO67" s="13"/>
    </row>
    <row r="68" spans="21:41" x14ac:dyDescent="0.25">
      <c r="U68" s="13"/>
      <c r="V68" s="13"/>
      <c r="W68" s="13"/>
      <c r="X68" s="13"/>
      <c r="Y68" s="13"/>
      <c r="Z68" s="13"/>
      <c r="AA68" s="13"/>
      <c r="AB68" s="13"/>
      <c r="AC68" s="13"/>
      <c r="AD68" s="13"/>
      <c r="AE68" s="13"/>
      <c r="AF68" s="13"/>
      <c r="AG68" s="13"/>
      <c r="AH68" s="13"/>
      <c r="AI68" s="13"/>
      <c r="AJ68" s="13"/>
      <c r="AK68" s="13"/>
      <c r="AL68" s="13"/>
      <c r="AM68" s="13"/>
      <c r="AN68" s="13"/>
      <c r="AO68" s="13"/>
    </row>
    <row r="69" spans="21:41" x14ac:dyDescent="0.25">
      <c r="U69" s="13"/>
      <c r="V69" s="13"/>
      <c r="W69" s="13"/>
      <c r="X69" s="13"/>
      <c r="Y69" s="13"/>
      <c r="Z69" s="13"/>
      <c r="AA69" s="13"/>
      <c r="AB69" s="13"/>
      <c r="AC69" s="13"/>
      <c r="AD69" s="13"/>
      <c r="AE69" s="13"/>
      <c r="AF69" s="13"/>
      <c r="AG69" s="13"/>
      <c r="AH69" s="13"/>
      <c r="AI69" s="13"/>
      <c r="AJ69" s="13"/>
      <c r="AK69" s="13"/>
      <c r="AL69" s="13"/>
      <c r="AM69" s="13"/>
      <c r="AN69" s="13"/>
      <c r="AO69" s="13"/>
    </row>
    <row r="70" spans="21:41" x14ac:dyDescent="0.25">
      <c r="U70" s="13"/>
      <c r="V70" s="13"/>
      <c r="W70" s="13"/>
      <c r="X70" s="13"/>
      <c r="Y70" s="13"/>
      <c r="Z70" s="13"/>
      <c r="AA70" s="13"/>
      <c r="AB70" s="13"/>
      <c r="AC70" s="13"/>
      <c r="AD70" s="13"/>
      <c r="AE70" s="13"/>
      <c r="AF70" s="13"/>
      <c r="AG70" s="13"/>
      <c r="AH70" s="13"/>
      <c r="AI70" s="13"/>
      <c r="AJ70" s="13"/>
      <c r="AK70" s="13"/>
      <c r="AL70" s="13"/>
      <c r="AM70" s="13"/>
      <c r="AN70" s="13"/>
      <c r="AO70" s="13"/>
    </row>
    <row r="71" spans="21:41" x14ac:dyDescent="0.25">
      <c r="U71" s="13"/>
      <c r="V71" s="13"/>
      <c r="W71" s="13"/>
      <c r="X71" s="13"/>
      <c r="Y71" s="13"/>
      <c r="Z71" s="13"/>
      <c r="AA71" s="13"/>
      <c r="AB71" s="13"/>
      <c r="AC71" s="13"/>
      <c r="AD71" s="13"/>
      <c r="AE71" s="13"/>
      <c r="AF71" s="13"/>
      <c r="AG71" s="13"/>
      <c r="AH71" s="13"/>
      <c r="AI71" s="13"/>
      <c r="AJ71" s="13"/>
      <c r="AK71" s="13"/>
      <c r="AL71" s="13"/>
      <c r="AM71" s="13"/>
      <c r="AN71" s="13"/>
      <c r="AO71" s="13"/>
    </row>
    <row r="72" spans="21:41" x14ac:dyDescent="0.25">
      <c r="U72" s="13"/>
      <c r="V72" s="13"/>
      <c r="W72" s="13"/>
      <c r="X72" s="13"/>
      <c r="Y72" s="13"/>
      <c r="Z72" s="13"/>
      <c r="AA72" s="13"/>
      <c r="AB72" s="13"/>
      <c r="AC72" s="13"/>
      <c r="AD72" s="13"/>
      <c r="AE72" s="13"/>
      <c r="AF72" s="13"/>
      <c r="AG72" s="13"/>
      <c r="AH72" s="13"/>
      <c r="AI72" s="13"/>
      <c r="AJ72" s="13"/>
      <c r="AK72" s="13"/>
      <c r="AL72" s="13"/>
      <c r="AM72" s="13"/>
      <c r="AN72" s="13"/>
      <c r="AO72" s="13"/>
    </row>
    <row r="73" spans="21:41" x14ac:dyDescent="0.25">
      <c r="U73" s="13"/>
      <c r="V73" s="13"/>
      <c r="W73" s="13"/>
      <c r="X73" s="13"/>
      <c r="Y73" s="13"/>
      <c r="Z73" s="13"/>
      <c r="AA73" s="13"/>
      <c r="AB73" s="13"/>
      <c r="AC73" s="13"/>
      <c r="AD73" s="13"/>
      <c r="AE73" s="13"/>
      <c r="AF73" s="13"/>
      <c r="AG73" s="13"/>
      <c r="AH73" s="13"/>
      <c r="AI73" s="13"/>
      <c r="AJ73" s="13"/>
      <c r="AK73" s="13"/>
      <c r="AL73" s="13"/>
      <c r="AM73" s="13"/>
      <c r="AN73" s="13"/>
      <c r="AO73" s="13"/>
    </row>
    <row r="74" spans="21:41" x14ac:dyDescent="0.25">
      <c r="U74" s="13"/>
      <c r="V74" s="13"/>
      <c r="W74" s="13"/>
      <c r="X74" s="13"/>
      <c r="Y74" s="13"/>
      <c r="Z74" s="13"/>
      <c r="AA74" s="13"/>
      <c r="AB74" s="13"/>
      <c r="AC74" s="13"/>
      <c r="AD74" s="13"/>
      <c r="AE74" s="13"/>
      <c r="AF74" s="13"/>
      <c r="AG74" s="13"/>
      <c r="AH74" s="13"/>
      <c r="AI74" s="13"/>
      <c r="AJ74" s="13"/>
      <c r="AK74" s="13"/>
      <c r="AL74" s="13"/>
      <c r="AM74" s="13"/>
      <c r="AN74" s="13"/>
      <c r="AO74" s="13"/>
    </row>
    <row r="75" spans="21:41" x14ac:dyDescent="0.25">
      <c r="U75" s="13"/>
      <c r="V75" s="13"/>
      <c r="W75" s="13"/>
      <c r="X75" s="13"/>
      <c r="Y75" s="13"/>
      <c r="Z75" s="13"/>
      <c r="AA75" s="13"/>
      <c r="AB75" s="13"/>
      <c r="AC75" s="13"/>
      <c r="AD75" s="13"/>
      <c r="AE75" s="13"/>
      <c r="AF75" s="13"/>
      <c r="AG75" s="13"/>
      <c r="AH75" s="13"/>
      <c r="AI75" s="13"/>
      <c r="AJ75" s="13"/>
      <c r="AK75" s="13"/>
      <c r="AL75" s="13"/>
      <c r="AM75" s="13"/>
      <c r="AN75" s="13"/>
      <c r="AO75" s="13"/>
    </row>
    <row r="76" spans="21:41" x14ac:dyDescent="0.25">
      <c r="U76" s="13"/>
      <c r="V76" s="13"/>
      <c r="W76" s="13"/>
      <c r="X76" s="13"/>
      <c r="Y76" s="13"/>
      <c r="Z76" s="13"/>
      <c r="AA76" s="13"/>
      <c r="AB76" s="13"/>
      <c r="AC76" s="13"/>
      <c r="AD76" s="13"/>
      <c r="AE76" s="13"/>
      <c r="AF76" s="13"/>
      <c r="AG76" s="13"/>
      <c r="AH76" s="13"/>
      <c r="AI76" s="13"/>
      <c r="AJ76" s="13"/>
      <c r="AK76" s="13"/>
      <c r="AL76" s="13"/>
      <c r="AM76" s="13"/>
      <c r="AN76" s="13"/>
      <c r="AO76" s="13"/>
    </row>
    <row r="77" spans="21:41" x14ac:dyDescent="0.25">
      <c r="U77" s="13"/>
      <c r="V77" s="13"/>
      <c r="W77" s="13"/>
      <c r="X77" s="13"/>
      <c r="Y77" s="13"/>
      <c r="Z77" s="13"/>
      <c r="AA77" s="13"/>
      <c r="AB77" s="13"/>
      <c r="AC77" s="13"/>
      <c r="AD77" s="13"/>
      <c r="AE77" s="13"/>
      <c r="AF77" s="13"/>
      <c r="AG77" s="13"/>
      <c r="AH77" s="13"/>
      <c r="AI77" s="13"/>
      <c r="AJ77" s="13"/>
      <c r="AK77" s="13"/>
      <c r="AL77" s="13"/>
      <c r="AM77" s="13"/>
      <c r="AN77" s="13"/>
      <c r="AO77" s="13"/>
    </row>
    <row r="78" spans="21:41" x14ac:dyDescent="0.25">
      <c r="U78" s="13"/>
      <c r="V78" s="13"/>
      <c r="W78" s="13"/>
      <c r="X78" s="13"/>
      <c r="Y78" s="13"/>
      <c r="Z78" s="13"/>
      <c r="AA78" s="13"/>
      <c r="AB78" s="13"/>
      <c r="AC78" s="13"/>
      <c r="AD78" s="13"/>
      <c r="AE78" s="13"/>
      <c r="AF78" s="13"/>
      <c r="AG78" s="13"/>
      <c r="AH78" s="13"/>
      <c r="AI78" s="13"/>
      <c r="AJ78" s="13"/>
      <c r="AK78" s="13"/>
      <c r="AL78" s="13"/>
      <c r="AM78" s="13"/>
      <c r="AN78" s="13"/>
      <c r="AO78" s="13"/>
    </row>
    <row r="79" spans="21:41" x14ac:dyDescent="0.25">
      <c r="U79" s="13"/>
      <c r="V79" s="13"/>
      <c r="W79" s="13"/>
      <c r="X79" s="13"/>
      <c r="Y79" s="13"/>
      <c r="Z79" s="13"/>
      <c r="AA79" s="13"/>
      <c r="AB79" s="13"/>
      <c r="AC79" s="13"/>
      <c r="AD79" s="13"/>
      <c r="AE79" s="13"/>
      <c r="AF79" s="13"/>
      <c r="AG79" s="13"/>
      <c r="AH79" s="13"/>
      <c r="AI79" s="13"/>
      <c r="AJ79" s="13"/>
      <c r="AK79" s="13"/>
      <c r="AL79" s="13"/>
      <c r="AM79" s="13"/>
      <c r="AN79" s="13"/>
      <c r="AO79" s="13"/>
    </row>
    <row r="80" spans="21:41" x14ac:dyDescent="0.25">
      <c r="U80" s="13"/>
      <c r="V80" s="13"/>
      <c r="W80" s="13"/>
      <c r="X80" s="13"/>
      <c r="Y80" s="13"/>
      <c r="Z80" s="13"/>
      <c r="AA80" s="13"/>
      <c r="AB80" s="13"/>
      <c r="AC80" s="13"/>
      <c r="AD80" s="13"/>
      <c r="AE80" s="13"/>
      <c r="AF80" s="13"/>
      <c r="AG80" s="13"/>
      <c r="AH80" s="13"/>
      <c r="AI80" s="13"/>
      <c r="AJ80" s="13"/>
      <c r="AK80" s="13"/>
      <c r="AL80" s="13"/>
      <c r="AM80" s="13"/>
      <c r="AN80" s="13"/>
      <c r="AO80" s="13"/>
    </row>
    <row r="81" spans="21:41" x14ac:dyDescent="0.25">
      <c r="U81" s="13"/>
      <c r="V81" s="13"/>
      <c r="W81" s="13"/>
      <c r="X81" s="13"/>
      <c r="Y81" s="13"/>
      <c r="Z81" s="13"/>
      <c r="AA81" s="13"/>
      <c r="AB81" s="13"/>
      <c r="AC81" s="13"/>
      <c r="AD81" s="13"/>
      <c r="AE81" s="13"/>
      <c r="AF81" s="13"/>
      <c r="AG81" s="13"/>
      <c r="AH81" s="13"/>
      <c r="AI81" s="13"/>
      <c r="AJ81" s="13"/>
      <c r="AK81" s="13"/>
      <c r="AL81" s="13"/>
      <c r="AM81" s="13"/>
      <c r="AN81" s="13"/>
      <c r="AO81" s="13"/>
    </row>
    <row r="82" spans="21:41" x14ac:dyDescent="0.25">
      <c r="U82" s="13"/>
      <c r="V82" s="13"/>
      <c r="W82" s="13"/>
      <c r="X82" s="13"/>
      <c r="Y82" s="13"/>
      <c r="Z82" s="13"/>
      <c r="AA82" s="13"/>
      <c r="AB82" s="13"/>
      <c r="AC82" s="13"/>
      <c r="AD82" s="13"/>
      <c r="AE82" s="13"/>
      <c r="AF82" s="13"/>
      <c r="AG82" s="13"/>
      <c r="AH82" s="13"/>
      <c r="AI82" s="13"/>
      <c r="AJ82" s="13"/>
      <c r="AK82" s="13"/>
      <c r="AL82" s="13"/>
      <c r="AM82" s="13"/>
      <c r="AN82" s="13"/>
      <c r="AO82" s="13"/>
    </row>
    <row r="83" spans="21:41" x14ac:dyDescent="0.25">
      <c r="U83" s="13"/>
      <c r="V83" s="13"/>
      <c r="W83" s="13"/>
      <c r="X83" s="13"/>
      <c r="Y83" s="13"/>
      <c r="Z83" s="13"/>
      <c r="AA83" s="13"/>
      <c r="AB83" s="13"/>
      <c r="AC83" s="13"/>
      <c r="AD83" s="13"/>
      <c r="AE83" s="13"/>
      <c r="AF83" s="13"/>
      <c r="AG83" s="13"/>
      <c r="AH83" s="13"/>
      <c r="AI83" s="13"/>
      <c r="AJ83" s="13"/>
      <c r="AK83" s="13"/>
      <c r="AL83" s="13"/>
      <c r="AM83" s="13"/>
      <c r="AN83" s="13"/>
      <c r="AO83" s="13"/>
    </row>
    <row r="84" spans="21:41" x14ac:dyDescent="0.25">
      <c r="U84" s="13"/>
      <c r="V84" s="13"/>
      <c r="W84" s="13"/>
      <c r="X84" s="13"/>
      <c r="Y84" s="13"/>
      <c r="Z84" s="13"/>
      <c r="AA84" s="13"/>
      <c r="AB84" s="13"/>
      <c r="AC84" s="13"/>
      <c r="AD84" s="13"/>
      <c r="AE84" s="13"/>
      <c r="AF84" s="13"/>
      <c r="AG84" s="13"/>
      <c r="AH84" s="13"/>
      <c r="AI84" s="13"/>
      <c r="AJ84" s="13"/>
      <c r="AK84" s="13"/>
      <c r="AL84" s="13"/>
      <c r="AM84" s="13"/>
      <c r="AN84" s="13"/>
      <c r="AO84" s="13"/>
    </row>
    <row r="85" spans="21:41" x14ac:dyDescent="0.25">
      <c r="U85" s="13"/>
      <c r="V85" s="13"/>
      <c r="W85" s="13"/>
      <c r="X85" s="13"/>
      <c r="Y85" s="13"/>
      <c r="Z85" s="13"/>
      <c r="AA85" s="13"/>
      <c r="AB85" s="13"/>
      <c r="AC85" s="13"/>
      <c r="AD85" s="13"/>
      <c r="AE85" s="13"/>
      <c r="AF85" s="13"/>
      <c r="AG85" s="13"/>
      <c r="AH85" s="13"/>
      <c r="AI85" s="13"/>
      <c r="AJ85" s="13"/>
      <c r="AK85" s="13"/>
      <c r="AL85" s="13"/>
      <c r="AM85" s="13"/>
      <c r="AN85" s="13"/>
      <c r="AO85" s="13"/>
    </row>
    <row r="86" spans="21:41" x14ac:dyDescent="0.25">
      <c r="U86" s="13"/>
      <c r="V86" s="13"/>
      <c r="W86" s="13"/>
      <c r="X86" s="13"/>
      <c r="Y86" s="13"/>
      <c r="Z86" s="13"/>
      <c r="AA86" s="13"/>
      <c r="AB86" s="13"/>
      <c r="AC86" s="13"/>
      <c r="AD86" s="13"/>
      <c r="AE86" s="13"/>
      <c r="AF86" s="13"/>
      <c r="AG86" s="13"/>
      <c r="AH86" s="13"/>
      <c r="AI86" s="13"/>
      <c r="AJ86" s="13"/>
      <c r="AK86" s="13"/>
      <c r="AL86" s="13"/>
      <c r="AM86" s="13"/>
      <c r="AN86" s="13"/>
      <c r="AO86" s="13"/>
    </row>
    <row r="87" spans="21:41" x14ac:dyDescent="0.25">
      <c r="U87" s="13"/>
      <c r="V87" s="13"/>
      <c r="W87" s="13"/>
      <c r="X87" s="13"/>
      <c r="Y87" s="13"/>
      <c r="Z87" s="13"/>
      <c r="AA87" s="13"/>
      <c r="AB87" s="13"/>
      <c r="AC87" s="13"/>
      <c r="AD87" s="13"/>
      <c r="AE87" s="13"/>
      <c r="AF87" s="13"/>
      <c r="AG87" s="13"/>
      <c r="AH87" s="13"/>
      <c r="AI87" s="13"/>
      <c r="AJ87" s="13"/>
      <c r="AK87" s="13"/>
      <c r="AL87" s="13"/>
      <c r="AM87" s="13"/>
      <c r="AN87" s="13"/>
      <c r="AO87" s="13"/>
    </row>
    <row r="88" spans="21:41" x14ac:dyDescent="0.25">
      <c r="U88" s="13"/>
      <c r="V88" s="13"/>
      <c r="W88" s="13"/>
      <c r="X88" s="13"/>
      <c r="Y88" s="13"/>
      <c r="Z88" s="13"/>
      <c r="AA88" s="13"/>
      <c r="AB88" s="13"/>
      <c r="AC88" s="13"/>
      <c r="AD88" s="13"/>
      <c r="AE88" s="13"/>
      <c r="AF88" s="13"/>
      <c r="AG88" s="13"/>
      <c r="AH88" s="13"/>
      <c r="AI88" s="13"/>
      <c r="AJ88" s="13"/>
      <c r="AK88" s="13"/>
      <c r="AL88" s="13"/>
      <c r="AM88" s="13"/>
      <c r="AN88" s="13"/>
      <c r="AO88" s="13"/>
    </row>
    <row r="89" spans="21:41" x14ac:dyDescent="0.25">
      <c r="U89" s="13"/>
      <c r="V89" s="13"/>
      <c r="W89" s="13"/>
      <c r="X89" s="13"/>
      <c r="Y89" s="13"/>
      <c r="Z89" s="13"/>
      <c r="AA89" s="13"/>
      <c r="AB89" s="13"/>
      <c r="AC89" s="13"/>
      <c r="AD89" s="13"/>
      <c r="AE89" s="13"/>
      <c r="AF89" s="13"/>
      <c r="AG89" s="13"/>
      <c r="AH89" s="13"/>
      <c r="AI89" s="13"/>
      <c r="AJ89" s="13"/>
      <c r="AK89" s="13"/>
      <c r="AL89" s="13"/>
      <c r="AM89" s="13"/>
      <c r="AN89" s="13"/>
      <c r="AO89" s="13"/>
    </row>
    <row r="90" spans="21:41" x14ac:dyDescent="0.25">
      <c r="U90" s="13"/>
      <c r="V90" s="13"/>
      <c r="W90" s="13"/>
      <c r="X90" s="13"/>
      <c r="Y90" s="13"/>
      <c r="Z90" s="13"/>
      <c r="AA90" s="13"/>
      <c r="AB90" s="13"/>
      <c r="AC90" s="13"/>
      <c r="AD90" s="13"/>
      <c r="AE90" s="13"/>
      <c r="AF90" s="13"/>
      <c r="AG90" s="13"/>
      <c r="AH90" s="13"/>
      <c r="AI90" s="13"/>
      <c r="AJ90" s="13"/>
      <c r="AK90" s="13"/>
      <c r="AL90" s="13"/>
      <c r="AM90" s="13"/>
      <c r="AN90" s="13"/>
      <c r="AO90" s="13"/>
    </row>
    <row r="91" spans="21:41" x14ac:dyDescent="0.25">
      <c r="U91" s="13"/>
      <c r="V91" s="13"/>
      <c r="W91" s="13"/>
      <c r="X91" s="13"/>
      <c r="Y91" s="13"/>
      <c r="Z91" s="13"/>
      <c r="AA91" s="13"/>
      <c r="AB91" s="13"/>
      <c r="AC91" s="13"/>
      <c r="AD91" s="13"/>
      <c r="AE91" s="13"/>
      <c r="AF91" s="13"/>
      <c r="AG91" s="13"/>
      <c r="AH91" s="13"/>
      <c r="AI91" s="13"/>
      <c r="AJ91" s="13"/>
      <c r="AK91" s="13"/>
      <c r="AL91" s="13"/>
      <c r="AM91" s="13"/>
      <c r="AN91" s="13"/>
      <c r="AO91" s="13"/>
    </row>
    <row r="92" spans="21:41" x14ac:dyDescent="0.25">
      <c r="U92" s="13"/>
      <c r="V92" s="13"/>
      <c r="W92" s="13"/>
      <c r="X92" s="13"/>
      <c r="Y92" s="13"/>
      <c r="Z92" s="13"/>
      <c r="AA92" s="13"/>
      <c r="AB92" s="13"/>
      <c r="AC92" s="13"/>
      <c r="AD92" s="13"/>
      <c r="AE92" s="13"/>
      <c r="AF92" s="13"/>
      <c r="AG92" s="13"/>
      <c r="AH92" s="13"/>
      <c r="AI92" s="13"/>
      <c r="AJ92" s="13"/>
      <c r="AK92" s="13"/>
      <c r="AL92" s="13"/>
      <c r="AM92" s="13"/>
      <c r="AN92" s="13"/>
      <c r="AO92" s="13"/>
    </row>
    <row r="93" spans="21:41" x14ac:dyDescent="0.25">
      <c r="U93" s="13"/>
      <c r="V93" s="13"/>
      <c r="W93" s="13"/>
      <c r="X93" s="13"/>
      <c r="Y93" s="13"/>
      <c r="Z93" s="13"/>
      <c r="AA93" s="13"/>
      <c r="AB93" s="13"/>
      <c r="AC93" s="13"/>
      <c r="AD93" s="13"/>
      <c r="AE93" s="13"/>
      <c r="AF93" s="13"/>
      <c r="AG93" s="13"/>
      <c r="AH93" s="13"/>
      <c r="AI93" s="13"/>
      <c r="AJ93" s="13"/>
      <c r="AK93" s="13"/>
      <c r="AL93" s="13"/>
      <c r="AM93" s="13"/>
      <c r="AN93" s="13"/>
      <c r="AO93" s="13"/>
    </row>
    <row r="94" spans="21:41" x14ac:dyDescent="0.25">
      <c r="U94" s="13"/>
      <c r="V94" s="13"/>
      <c r="W94" s="13"/>
      <c r="X94" s="13"/>
      <c r="Y94" s="13"/>
      <c r="Z94" s="13"/>
      <c r="AA94" s="13"/>
      <c r="AB94" s="13"/>
      <c r="AC94" s="13"/>
      <c r="AD94" s="13"/>
      <c r="AE94" s="13"/>
      <c r="AF94" s="13"/>
      <c r="AG94" s="13"/>
      <c r="AH94" s="13"/>
      <c r="AI94" s="13"/>
      <c r="AJ94" s="13"/>
      <c r="AK94" s="13"/>
      <c r="AL94" s="13"/>
      <c r="AM94" s="13"/>
      <c r="AN94" s="13"/>
      <c r="AO94" s="13"/>
    </row>
    <row r="95" spans="21:41" x14ac:dyDescent="0.25">
      <c r="U95" s="13"/>
      <c r="V95" s="13"/>
      <c r="W95" s="13"/>
      <c r="X95" s="13"/>
      <c r="Y95" s="13"/>
      <c r="Z95" s="13"/>
      <c r="AA95" s="13"/>
      <c r="AB95" s="13"/>
      <c r="AC95" s="13"/>
      <c r="AD95" s="13"/>
      <c r="AE95" s="13"/>
      <c r="AF95" s="13"/>
      <c r="AG95" s="13"/>
      <c r="AH95" s="13"/>
      <c r="AI95" s="13"/>
      <c r="AJ95" s="13"/>
      <c r="AK95" s="13"/>
      <c r="AL95" s="13"/>
      <c r="AM95" s="13"/>
      <c r="AN95" s="13"/>
      <c r="AO95" s="13"/>
    </row>
    <row r="96" spans="21:41" x14ac:dyDescent="0.25">
      <c r="U96" s="13"/>
      <c r="V96" s="13"/>
      <c r="W96" s="13"/>
      <c r="X96" s="13"/>
      <c r="Y96" s="13"/>
      <c r="Z96" s="13"/>
      <c r="AA96" s="13"/>
      <c r="AB96" s="13"/>
      <c r="AC96" s="13"/>
      <c r="AD96" s="13"/>
      <c r="AE96" s="13"/>
      <c r="AF96" s="13"/>
      <c r="AG96" s="13"/>
      <c r="AH96" s="13"/>
      <c r="AI96" s="13"/>
      <c r="AJ96" s="13"/>
      <c r="AK96" s="13"/>
      <c r="AL96" s="13"/>
      <c r="AM96" s="13"/>
      <c r="AN96" s="13"/>
      <c r="AO96" s="13"/>
    </row>
    <row r="97" spans="21:41" x14ac:dyDescent="0.25">
      <c r="U97" s="13"/>
      <c r="V97" s="13"/>
      <c r="W97" s="13"/>
      <c r="X97" s="13"/>
      <c r="Y97" s="13"/>
      <c r="Z97" s="13"/>
      <c r="AA97" s="13"/>
      <c r="AB97" s="13"/>
      <c r="AC97" s="13"/>
      <c r="AD97" s="13"/>
      <c r="AE97" s="13"/>
      <c r="AF97" s="13"/>
      <c r="AG97" s="13"/>
      <c r="AH97" s="13"/>
      <c r="AI97" s="13"/>
      <c r="AJ97" s="13"/>
      <c r="AK97" s="13"/>
      <c r="AL97" s="13"/>
      <c r="AM97" s="13"/>
      <c r="AN97" s="13"/>
      <c r="AO97" s="13"/>
    </row>
    <row r="98" spans="21:41" x14ac:dyDescent="0.25">
      <c r="U98" s="13"/>
      <c r="V98" s="13"/>
      <c r="W98" s="13"/>
      <c r="X98" s="13"/>
      <c r="Y98" s="13"/>
      <c r="Z98" s="13"/>
      <c r="AA98" s="13"/>
      <c r="AB98" s="13"/>
      <c r="AC98" s="13"/>
      <c r="AD98" s="13"/>
      <c r="AE98" s="13"/>
      <c r="AF98" s="13"/>
      <c r="AG98" s="13"/>
      <c r="AH98" s="13"/>
      <c r="AI98" s="13"/>
      <c r="AJ98" s="13"/>
      <c r="AK98" s="13"/>
      <c r="AL98" s="13"/>
      <c r="AM98" s="13"/>
      <c r="AN98" s="13"/>
      <c r="AO98" s="13"/>
    </row>
    <row r="99" spans="21:41" x14ac:dyDescent="0.25">
      <c r="U99" s="13"/>
      <c r="V99" s="13"/>
      <c r="W99" s="13"/>
      <c r="X99" s="13"/>
      <c r="Y99" s="13"/>
      <c r="Z99" s="13"/>
      <c r="AA99" s="13"/>
      <c r="AB99" s="13"/>
      <c r="AC99" s="13"/>
      <c r="AD99" s="13"/>
      <c r="AE99" s="13"/>
      <c r="AF99" s="13"/>
      <c r="AG99" s="13"/>
      <c r="AH99" s="13"/>
      <c r="AI99" s="13"/>
      <c r="AJ99" s="13"/>
      <c r="AK99" s="13"/>
      <c r="AL99" s="13"/>
      <c r="AM99" s="13"/>
      <c r="AN99" s="13"/>
      <c r="AO99" s="13"/>
    </row>
    <row r="100" spans="21:41" x14ac:dyDescent="0.25">
      <c r="U100" s="13"/>
      <c r="V100" s="13"/>
      <c r="W100" s="13"/>
      <c r="X100" s="13"/>
      <c r="Y100" s="13"/>
      <c r="Z100" s="13"/>
      <c r="AA100" s="13"/>
      <c r="AB100" s="13"/>
      <c r="AC100" s="13"/>
      <c r="AD100" s="13"/>
      <c r="AE100" s="13"/>
      <c r="AF100" s="13"/>
      <c r="AG100" s="13"/>
      <c r="AH100" s="13"/>
      <c r="AI100" s="13"/>
      <c r="AJ100" s="13"/>
      <c r="AK100" s="13"/>
      <c r="AL100" s="13"/>
      <c r="AM100" s="13"/>
      <c r="AN100" s="13"/>
      <c r="AO100" s="13"/>
    </row>
    <row r="101" spans="21:41" x14ac:dyDescent="0.25">
      <c r="U101" s="13"/>
      <c r="V101" s="13"/>
      <c r="W101" s="13"/>
      <c r="X101" s="13"/>
      <c r="Y101" s="13"/>
      <c r="Z101" s="13"/>
      <c r="AA101" s="13"/>
      <c r="AB101" s="13"/>
      <c r="AC101" s="13"/>
      <c r="AD101" s="13"/>
      <c r="AE101" s="13"/>
      <c r="AF101" s="13"/>
      <c r="AG101" s="13"/>
      <c r="AH101" s="13"/>
      <c r="AI101" s="13"/>
      <c r="AJ101" s="13"/>
      <c r="AK101" s="13"/>
      <c r="AL101" s="13"/>
      <c r="AM101" s="13"/>
      <c r="AN101" s="13"/>
      <c r="AO101" s="13"/>
    </row>
    <row r="102" spans="21:41" x14ac:dyDescent="0.25">
      <c r="U102" s="13"/>
      <c r="V102" s="13"/>
      <c r="W102" s="13"/>
      <c r="X102" s="13"/>
      <c r="Y102" s="13"/>
      <c r="Z102" s="13"/>
      <c r="AA102" s="13"/>
      <c r="AB102" s="13"/>
      <c r="AC102" s="13"/>
      <c r="AD102" s="13"/>
      <c r="AE102" s="13"/>
      <c r="AF102" s="13"/>
      <c r="AG102" s="13"/>
      <c r="AH102" s="13"/>
      <c r="AI102" s="13"/>
      <c r="AJ102" s="13"/>
      <c r="AK102" s="13"/>
      <c r="AL102" s="13"/>
      <c r="AM102" s="13"/>
      <c r="AN102" s="13"/>
      <c r="AO102" s="13"/>
    </row>
    <row r="103" spans="21:41" x14ac:dyDescent="0.25">
      <c r="U103" s="13"/>
      <c r="V103" s="13"/>
      <c r="W103" s="13"/>
      <c r="X103" s="13"/>
      <c r="Y103" s="13"/>
      <c r="Z103" s="13"/>
      <c r="AA103" s="13"/>
      <c r="AB103" s="13"/>
      <c r="AC103" s="13"/>
      <c r="AD103" s="13"/>
      <c r="AE103" s="13"/>
      <c r="AF103" s="13"/>
      <c r="AG103" s="13"/>
      <c r="AH103" s="13"/>
      <c r="AI103" s="13"/>
      <c r="AJ103" s="13"/>
      <c r="AK103" s="13"/>
      <c r="AL103" s="13"/>
      <c r="AM103" s="13"/>
      <c r="AN103" s="13"/>
      <c r="AO103" s="13"/>
    </row>
    <row r="104" spans="21:41" x14ac:dyDescent="0.25">
      <c r="U104" s="13"/>
      <c r="V104" s="13"/>
      <c r="W104" s="13"/>
      <c r="X104" s="13"/>
      <c r="Y104" s="13"/>
      <c r="Z104" s="13"/>
      <c r="AA104" s="13"/>
      <c r="AB104" s="13"/>
      <c r="AC104" s="13"/>
      <c r="AD104" s="13"/>
      <c r="AE104" s="13"/>
      <c r="AF104" s="13"/>
      <c r="AG104" s="13"/>
      <c r="AH104" s="13"/>
      <c r="AI104" s="13"/>
      <c r="AJ104" s="13"/>
      <c r="AK104" s="13"/>
      <c r="AL104" s="13"/>
      <c r="AM104" s="13"/>
      <c r="AN104" s="13"/>
      <c r="AO104" s="13"/>
    </row>
    <row r="105" spans="21:41" x14ac:dyDescent="0.25">
      <c r="U105" s="13"/>
      <c r="V105" s="13"/>
      <c r="W105" s="13"/>
      <c r="X105" s="13"/>
      <c r="Y105" s="13"/>
      <c r="Z105" s="13"/>
      <c r="AA105" s="13"/>
      <c r="AB105" s="13"/>
      <c r="AC105" s="13"/>
      <c r="AD105" s="13"/>
      <c r="AE105" s="13"/>
      <c r="AF105" s="13"/>
      <c r="AG105" s="13"/>
      <c r="AH105" s="13"/>
      <c r="AI105" s="13"/>
      <c r="AJ105" s="13"/>
      <c r="AK105" s="13"/>
      <c r="AL105" s="13"/>
      <c r="AM105" s="13"/>
      <c r="AN105" s="13"/>
      <c r="AO105" s="13"/>
    </row>
    <row r="106" spans="21:41" x14ac:dyDescent="0.25">
      <c r="U106" s="13"/>
      <c r="V106" s="13"/>
      <c r="W106" s="13"/>
      <c r="X106" s="13"/>
      <c r="Y106" s="13"/>
      <c r="Z106" s="13"/>
      <c r="AA106" s="13"/>
      <c r="AB106" s="13"/>
      <c r="AC106" s="13"/>
      <c r="AD106" s="13"/>
      <c r="AE106" s="13"/>
      <c r="AF106" s="13"/>
      <c r="AG106" s="13"/>
      <c r="AH106" s="13"/>
      <c r="AI106" s="13"/>
      <c r="AJ106" s="13"/>
      <c r="AK106" s="13"/>
      <c r="AL106" s="13"/>
      <c r="AM106" s="13"/>
      <c r="AN106" s="13"/>
      <c r="AO106" s="13"/>
    </row>
    <row r="107" spans="21:41" x14ac:dyDescent="0.25">
      <c r="U107" s="13"/>
      <c r="V107" s="13"/>
      <c r="W107" s="13"/>
      <c r="X107" s="13"/>
      <c r="Y107" s="13"/>
      <c r="Z107" s="13"/>
      <c r="AA107" s="13"/>
      <c r="AB107" s="13"/>
      <c r="AC107" s="13"/>
      <c r="AD107" s="13"/>
      <c r="AE107" s="13"/>
      <c r="AF107" s="13"/>
      <c r="AG107" s="13"/>
      <c r="AH107" s="13"/>
      <c r="AI107" s="13"/>
      <c r="AJ107" s="13"/>
      <c r="AK107" s="13"/>
      <c r="AL107" s="13"/>
      <c r="AM107" s="13"/>
      <c r="AN107" s="13"/>
      <c r="AO107" s="13"/>
    </row>
    <row r="108" spans="21:41" x14ac:dyDescent="0.25">
      <c r="U108" s="13"/>
      <c r="V108" s="13"/>
      <c r="W108" s="13"/>
      <c r="X108" s="13"/>
      <c r="Y108" s="13"/>
      <c r="Z108" s="13"/>
      <c r="AA108" s="13"/>
      <c r="AB108" s="13"/>
      <c r="AC108" s="13"/>
      <c r="AD108" s="13"/>
      <c r="AE108" s="13"/>
      <c r="AF108" s="13"/>
      <c r="AG108" s="13"/>
      <c r="AH108" s="13"/>
      <c r="AI108" s="13"/>
      <c r="AJ108" s="13"/>
      <c r="AK108" s="13"/>
      <c r="AL108" s="13"/>
      <c r="AM108" s="13"/>
      <c r="AN108" s="13"/>
      <c r="AO108" s="13"/>
    </row>
    <row r="109" spans="21:41" x14ac:dyDescent="0.25">
      <c r="U109" s="13"/>
      <c r="V109" s="13"/>
      <c r="W109" s="13"/>
      <c r="X109" s="13"/>
      <c r="Y109" s="13"/>
      <c r="Z109" s="13"/>
      <c r="AA109" s="13"/>
      <c r="AB109" s="13"/>
      <c r="AC109" s="13"/>
      <c r="AD109" s="13"/>
      <c r="AE109" s="13"/>
      <c r="AF109" s="13"/>
      <c r="AG109" s="13"/>
      <c r="AH109" s="13"/>
      <c r="AI109" s="13"/>
      <c r="AJ109" s="13"/>
      <c r="AK109" s="13"/>
      <c r="AL109" s="13"/>
      <c r="AM109" s="13"/>
      <c r="AN109" s="13"/>
      <c r="AO109" s="13"/>
    </row>
    <row r="110" spans="21:41" x14ac:dyDescent="0.25">
      <c r="U110" s="13"/>
      <c r="V110" s="13"/>
      <c r="W110" s="13"/>
      <c r="X110" s="13"/>
      <c r="Y110" s="13"/>
      <c r="Z110" s="13"/>
      <c r="AA110" s="13"/>
      <c r="AB110" s="13"/>
      <c r="AC110" s="13"/>
      <c r="AD110" s="13"/>
      <c r="AE110" s="13"/>
      <c r="AF110" s="13"/>
      <c r="AG110" s="13"/>
      <c r="AH110" s="13"/>
      <c r="AI110" s="13"/>
      <c r="AJ110" s="13"/>
      <c r="AK110" s="13"/>
      <c r="AL110" s="13"/>
      <c r="AM110" s="13"/>
      <c r="AN110" s="13"/>
      <c r="AO110" s="13"/>
    </row>
    <row r="111" spans="21:41" x14ac:dyDescent="0.25">
      <c r="U111" s="13"/>
      <c r="V111" s="13"/>
      <c r="W111" s="13"/>
      <c r="X111" s="13"/>
      <c r="Y111" s="13"/>
      <c r="Z111" s="13"/>
      <c r="AA111" s="13"/>
      <c r="AB111" s="13"/>
      <c r="AC111" s="13"/>
      <c r="AD111" s="13"/>
      <c r="AE111" s="13"/>
      <c r="AF111" s="13"/>
      <c r="AG111" s="13"/>
      <c r="AH111" s="13"/>
      <c r="AI111" s="13"/>
      <c r="AJ111" s="13"/>
      <c r="AK111" s="13"/>
      <c r="AL111" s="13"/>
      <c r="AM111" s="13"/>
      <c r="AN111" s="13"/>
      <c r="AO111" s="13"/>
    </row>
    <row r="112" spans="21:41" x14ac:dyDescent="0.25">
      <c r="U112" s="13"/>
      <c r="V112" s="13"/>
      <c r="W112" s="13"/>
      <c r="X112" s="13"/>
      <c r="Y112" s="13"/>
      <c r="Z112" s="13"/>
      <c r="AA112" s="13"/>
      <c r="AB112" s="13"/>
      <c r="AC112" s="13"/>
      <c r="AD112" s="13"/>
      <c r="AE112" s="13"/>
      <c r="AF112" s="13"/>
      <c r="AG112" s="13"/>
      <c r="AH112" s="13"/>
      <c r="AI112" s="13"/>
      <c r="AJ112" s="13"/>
      <c r="AK112" s="13"/>
      <c r="AL112" s="13"/>
      <c r="AM112" s="13"/>
      <c r="AN112" s="13"/>
      <c r="AO112" s="13"/>
    </row>
    <row r="113" spans="21:41" x14ac:dyDescent="0.25">
      <c r="U113" s="13"/>
      <c r="V113" s="13"/>
      <c r="W113" s="13"/>
      <c r="X113" s="13"/>
      <c r="Y113" s="13"/>
      <c r="Z113" s="13"/>
      <c r="AA113" s="13"/>
      <c r="AB113" s="13"/>
      <c r="AC113" s="13"/>
      <c r="AD113" s="13"/>
      <c r="AE113" s="13"/>
      <c r="AF113" s="13"/>
      <c r="AG113" s="13"/>
      <c r="AH113" s="13"/>
      <c r="AI113" s="13"/>
      <c r="AJ113" s="13"/>
      <c r="AK113" s="13"/>
      <c r="AL113" s="13"/>
      <c r="AM113" s="13"/>
      <c r="AN113" s="13"/>
      <c r="AO113" s="13"/>
    </row>
    <row r="114" spans="21:41" x14ac:dyDescent="0.25">
      <c r="U114" s="13"/>
      <c r="V114" s="13"/>
      <c r="W114" s="13"/>
      <c r="X114" s="13"/>
      <c r="Y114" s="13"/>
      <c r="Z114" s="13"/>
      <c r="AA114" s="13"/>
      <c r="AB114" s="13"/>
      <c r="AC114" s="13"/>
      <c r="AD114" s="13"/>
      <c r="AE114" s="13"/>
      <c r="AF114" s="13"/>
      <c r="AG114" s="13"/>
      <c r="AH114" s="13"/>
      <c r="AI114" s="13"/>
      <c r="AJ114" s="13"/>
      <c r="AK114" s="13"/>
      <c r="AL114" s="13"/>
      <c r="AM114" s="13"/>
      <c r="AN114" s="13"/>
      <c r="AO114" s="13"/>
    </row>
    <row r="115" spans="21:41" x14ac:dyDescent="0.25">
      <c r="U115" s="13"/>
      <c r="V115" s="13"/>
      <c r="W115" s="13"/>
      <c r="X115" s="13"/>
      <c r="Y115" s="13"/>
      <c r="Z115" s="13"/>
      <c r="AA115" s="13"/>
      <c r="AB115" s="13"/>
      <c r="AC115" s="13"/>
      <c r="AD115" s="13"/>
      <c r="AE115" s="13"/>
      <c r="AF115" s="13"/>
      <c r="AG115" s="13"/>
      <c r="AH115" s="13"/>
      <c r="AI115" s="13"/>
      <c r="AJ115" s="13"/>
      <c r="AK115" s="13"/>
      <c r="AL115" s="13"/>
      <c r="AM115" s="13"/>
      <c r="AN115" s="13"/>
      <c r="AO115" s="13"/>
    </row>
    <row r="116" spans="21:41" x14ac:dyDescent="0.25">
      <c r="U116" s="13"/>
      <c r="V116" s="13"/>
      <c r="W116" s="13"/>
      <c r="X116" s="13"/>
      <c r="Y116" s="13"/>
      <c r="Z116" s="13"/>
      <c r="AA116" s="13"/>
      <c r="AB116" s="13"/>
      <c r="AC116" s="13"/>
      <c r="AD116" s="13"/>
      <c r="AE116" s="13"/>
      <c r="AF116" s="13"/>
      <c r="AG116" s="13"/>
      <c r="AH116" s="13"/>
      <c r="AI116" s="13"/>
      <c r="AJ116" s="13"/>
      <c r="AK116" s="13"/>
      <c r="AL116" s="13"/>
      <c r="AM116" s="13"/>
      <c r="AN116" s="13"/>
      <c r="AO116" s="13"/>
    </row>
    <row r="117" spans="21:41" x14ac:dyDescent="0.25">
      <c r="U117" s="13"/>
      <c r="V117" s="13"/>
      <c r="W117" s="13"/>
      <c r="X117" s="13"/>
      <c r="Y117" s="13"/>
      <c r="Z117" s="13"/>
      <c r="AA117" s="13"/>
      <c r="AB117" s="13"/>
      <c r="AC117" s="13"/>
      <c r="AD117" s="13"/>
      <c r="AE117" s="13"/>
      <c r="AF117" s="13"/>
      <c r="AG117" s="13"/>
      <c r="AH117" s="13"/>
      <c r="AI117" s="13"/>
      <c r="AJ117" s="13"/>
      <c r="AK117" s="13"/>
      <c r="AL117" s="13"/>
      <c r="AM117" s="13"/>
      <c r="AN117" s="13"/>
      <c r="AO117" s="13"/>
    </row>
    <row r="118" spans="21:41" x14ac:dyDescent="0.25">
      <c r="U118" s="13"/>
      <c r="V118" s="13"/>
      <c r="W118" s="13"/>
      <c r="X118" s="13"/>
      <c r="Y118" s="13"/>
      <c r="Z118" s="13"/>
      <c r="AA118" s="13"/>
      <c r="AB118" s="13"/>
      <c r="AC118" s="13"/>
      <c r="AD118" s="13"/>
      <c r="AE118" s="13"/>
      <c r="AF118" s="13"/>
      <c r="AG118" s="13"/>
      <c r="AH118" s="13"/>
      <c r="AI118" s="13"/>
      <c r="AJ118" s="13"/>
      <c r="AK118" s="13"/>
      <c r="AL118" s="13"/>
      <c r="AM118" s="13"/>
      <c r="AN118" s="13"/>
      <c r="AO118" s="13"/>
    </row>
    <row r="119" spans="21:41" x14ac:dyDescent="0.25">
      <c r="U119" s="13"/>
      <c r="V119" s="13"/>
      <c r="W119" s="13"/>
      <c r="X119" s="13"/>
      <c r="Y119" s="13"/>
      <c r="Z119" s="13"/>
      <c r="AA119" s="13"/>
      <c r="AB119" s="13"/>
      <c r="AC119" s="13"/>
      <c r="AD119" s="13"/>
      <c r="AE119" s="13"/>
      <c r="AF119" s="13"/>
      <c r="AG119" s="13"/>
      <c r="AH119" s="13"/>
      <c r="AI119" s="13"/>
      <c r="AJ119" s="13"/>
      <c r="AK119" s="13"/>
      <c r="AL119" s="13"/>
      <c r="AM119" s="13"/>
      <c r="AN119" s="13"/>
      <c r="AO119" s="13"/>
    </row>
    <row r="120" spans="21:41" x14ac:dyDescent="0.25">
      <c r="U120" s="13"/>
      <c r="V120" s="13"/>
      <c r="W120" s="13"/>
      <c r="X120" s="13"/>
      <c r="Y120" s="13"/>
      <c r="Z120" s="13"/>
      <c r="AA120" s="13"/>
      <c r="AB120" s="13"/>
      <c r="AC120" s="13"/>
      <c r="AD120" s="13"/>
      <c r="AE120" s="13"/>
      <c r="AF120" s="13"/>
      <c r="AG120" s="13"/>
      <c r="AH120" s="13"/>
      <c r="AI120" s="13"/>
      <c r="AJ120" s="13"/>
      <c r="AK120" s="13"/>
      <c r="AL120" s="13"/>
      <c r="AM120" s="13"/>
      <c r="AN120" s="13"/>
      <c r="AO120" s="13"/>
    </row>
    <row r="121" spans="21:41" x14ac:dyDescent="0.25">
      <c r="U121" s="13"/>
      <c r="V121" s="13"/>
      <c r="W121" s="13"/>
      <c r="X121" s="13"/>
      <c r="Y121" s="13"/>
      <c r="Z121" s="13"/>
      <c r="AA121" s="13"/>
      <c r="AB121" s="13"/>
      <c r="AC121" s="13"/>
      <c r="AD121" s="13"/>
      <c r="AE121" s="13"/>
      <c r="AF121" s="13"/>
      <c r="AG121" s="13"/>
      <c r="AH121" s="13"/>
      <c r="AI121" s="13"/>
      <c r="AJ121" s="13"/>
      <c r="AK121" s="13"/>
      <c r="AL121" s="13"/>
      <c r="AM121" s="13"/>
      <c r="AN121" s="13"/>
      <c r="AO121" s="13"/>
    </row>
    <row r="122" spans="21:41" x14ac:dyDescent="0.25">
      <c r="U122" s="13"/>
      <c r="V122" s="13"/>
      <c r="W122" s="13"/>
      <c r="X122" s="13"/>
      <c r="Y122" s="13"/>
      <c r="Z122" s="13"/>
      <c r="AA122" s="13"/>
      <c r="AB122" s="13"/>
      <c r="AC122" s="13"/>
      <c r="AD122" s="13"/>
      <c r="AE122" s="13"/>
      <c r="AF122" s="13"/>
      <c r="AG122" s="13"/>
      <c r="AH122" s="13"/>
      <c r="AI122" s="13"/>
      <c r="AJ122" s="13"/>
      <c r="AK122" s="13"/>
      <c r="AL122" s="13"/>
      <c r="AM122" s="13"/>
      <c r="AN122" s="13"/>
      <c r="AO122" s="13"/>
    </row>
    <row r="123" spans="21:41" x14ac:dyDescent="0.25">
      <c r="U123" s="13"/>
      <c r="V123" s="13"/>
      <c r="W123" s="13"/>
      <c r="X123" s="13"/>
      <c r="Y123" s="13"/>
      <c r="Z123" s="13"/>
      <c r="AA123" s="13"/>
      <c r="AB123" s="13"/>
      <c r="AC123" s="13"/>
      <c r="AD123" s="13"/>
      <c r="AE123" s="13"/>
      <c r="AF123" s="13"/>
      <c r="AG123" s="13"/>
      <c r="AH123" s="13"/>
      <c r="AI123" s="13"/>
      <c r="AJ123" s="13"/>
      <c r="AK123" s="13"/>
      <c r="AL123" s="13"/>
      <c r="AM123" s="13"/>
      <c r="AN123" s="13"/>
      <c r="AO123" s="13"/>
    </row>
    <row r="124" spans="21:41" x14ac:dyDescent="0.25">
      <c r="U124" s="13"/>
      <c r="V124" s="13"/>
      <c r="W124" s="13"/>
      <c r="X124" s="13"/>
      <c r="Y124" s="13"/>
      <c r="Z124" s="13"/>
      <c r="AA124" s="13"/>
      <c r="AB124" s="13"/>
      <c r="AC124" s="13"/>
      <c r="AD124" s="13"/>
      <c r="AE124" s="13"/>
      <c r="AF124" s="13"/>
      <c r="AG124" s="13"/>
      <c r="AH124" s="13"/>
      <c r="AI124" s="13"/>
      <c r="AJ124" s="13"/>
      <c r="AK124" s="13"/>
      <c r="AL124" s="13"/>
      <c r="AM124" s="13"/>
      <c r="AN124" s="13"/>
      <c r="AO124" s="13"/>
    </row>
    <row r="125" spans="21:41" x14ac:dyDescent="0.25">
      <c r="U125" s="13"/>
      <c r="V125" s="13"/>
      <c r="W125" s="13"/>
      <c r="X125" s="13"/>
      <c r="Y125" s="13"/>
      <c r="Z125" s="13"/>
      <c r="AA125" s="13"/>
      <c r="AB125" s="13"/>
      <c r="AC125" s="13"/>
      <c r="AD125" s="13"/>
      <c r="AE125" s="13"/>
      <c r="AF125" s="13"/>
      <c r="AG125" s="13"/>
      <c r="AH125" s="13"/>
      <c r="AI125" s="13"/>
      <c r="AJ125" s="13"/>
      <c r="AK125" s="13"/>
      <c r="AL125" s="13"/>
      <c r="AM125" s="13"/>
      <c r="AN125" s="13"/>
      <c r="AO125" s="13"/>
    </row>
    <row r="126" spans="21:41" x14ac:dyDescent="0.25">
      <c r="U126" s="13"/>
      <c r="V126" s="13"/>
      <c r="W126" s="13"/>
      <c r="X126" s="13"/>
      <c r="Y126" s="13"/>
      <c r="Z126" s="13"/>
      <c r="AA126" s="13"/>
      <c r="AB126" s="13"/>
      <c r="AC126" s="13"/>
      <c r="AD126" s="13"/>
      <c r="AE126" s="13"/>
      <c r="AF126" s="13"/>
      <c r="AG126" s="13"/>
      <c r="AH126" s="13"/>
      <c r="AI126" s="13"/>
      <c r="AJ126" s="13"/>
      <c r="AK126" s="13"/>
      <c r="AL126" s="13"/>
      <c r="AM126" s="13"/>
      <c r="AN126" s="13"/>
      <c r="AO126" s="13"/>
    </row>
    <row r="127" spans="21:41" x14ac:dyDescent="0.25">
      <c r="U127" s="13"/>
      <c r="V127" s="13"/>
      <c r="W127" s="13"/>
      <c r="X127" s="13"/>
      <c r="Y127" s="13"/>
      <c r="Z127" s="13"/>
      <c r="AA127" s="13"/>
      <c r="AB127" s="13"/>
      <c r="AC127" s="13"/>
      <c r="AD127" s="13"/>
      <c r="AE127" s="13"/>
      <c r="AF127" s="13"/>
      <c r="AG127" s="13"/>
      <c r="AH127" s="13"/>
      <c r="AI127" s="13"/>
      <c r="AJ127" s="13"/>
      <c r="AK127" s="13"/>
      <c r="AL127" s="13"/>
      <c r="AM127" s="13"/>
      <c r="AN127" s="13"/>
      <c r="AO127" s="13"/>
    </row>
    <row r="128" spans="21:41" x14ac:dyDescent="0.25">
      <c r="U128" s="13"/>
      <c r="V128" s="13"/>
      <c r="W128" s="13"/>
      <c r="X128" s="13"/>
      <c r="Y128" s="13"/>
      <c r="Z128" s="13"/>
      <c r="AA128" s="13"/>
      <c r="AB128" s="13"/>
      <c r="AC128" s="13"/>
      <c r="AD128" s="13"/>
      <c r="AE128" s="13"/>
      <c r="AF128" s="13"/>
      <c r="AG128" s="13"/>
      <c r="AH128" s="13"/>
      <c r="AI128" s="13"/>
      <c r="AJ128" s="13"/>
      <c r="AK128" s="13"/>
      <c r="AL128" s="13"/>
      <c r="AM128" s="13"/>
      <c r="AN128" s="13"/>
      <c r="AO128"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8614-7759-41CD-AF97-377EF7F7E029}">
  <dimension ref="U1:AO128"/>
  <sheetViews>
    <sheetView workbookViewId="0">
      <selection activeCell="U12" sqref="U12"/>
    </sheetView>
  </sheetViews>
  <sheetFormatPr defaultRowHeight="15" x14ac:dyDescent="0.25"/>
  <cols>
    <col min="1" max="16384" width="9.140625" style="12"/>
  </cols>
  <sheetData>
    <row r="1" spans="21:41" x14ac:dyDescent="0.25">
      <c r="U1" s="13"/>
      <c r="V1" s="13"/>
      <c r="W1" s="13"/>
      <c r="X1" s="13"/>
      <c r="Y1" s="13"/>
      <c r="Z1" s="13"/>
      <c r="AA1" s="13"/>
      <c r="AB1" s="13"/>
      <c r="AC1" s="13"/>
      <c r="AD1" s="13"/>
      <c r="AE1" s="13"/>
      <c r="AF1" s="13"/>
      <c r="AG1" s="13"/>
      <c r="AH1" s="13"/>
      <c r="AI1" s="13"/>
      <c r="AJ1" s="13"/>
      <c r="AK1" s="13"/>
      <c r="AL1" s="13"/>
      <c r="AM1" s="13"/>
      <c r="AN1" s="13"/>
      <c r="AO1" s="13"/>
    </row>
    <row r="2" spans="21:41" x14ac:dyDescent="0.25">
      <c r="U2" s="13"/>
      <c r="V2" s="13"/>
      <c r="W2" s="13"/>
      <c r="X2" s="13"/>
      <c r="Y2" s="13"/>
      <c r="Z2" s="13"/>
      <c r="AA2" s="13"/>
      <c r="AB2" s="13"/>
      <c r="AC2" s="13"/>
      <c r="AD2" s="13"/>
      <c r="AE2" s="13"/>
      <c r="AF2" s="13"/>
      <c r="AG2" s="13"/>
      <c r="AH2" s="13"/>
      <c r="AI2" s="13"/>
      <c r="AJ2" s="13"/>
      <c r="AK2" s="13"/>
      <c r="AL2" s="13"/>
      <c r="AM2" s="13"/>
      <c r="AN2" s="13"/>
      <c r="AO2" s="13"/>
    </row>
    <row r="3" spans="21:41" x14ac:dyDescent="0.25">
      <c r="U3" s="13"/>
      <c r="V3" s="13"/>
      <c r="W3" s="13"/>
      <c r="X3" s="13"/>
      <c r="Y3" s="13"/>
      <c r="Z3" s="13"/>
      <c r="AA3" s="13"/>
      <c r="AB3" s="13"/>
      <c r="AC3" s="13"/>
      <c r="AD3" s="13"/>
      <c r="AE3" s="13"/>
      <c r="AF3" s="13"/>
      <c r="AG3" s="13"/>
      <c r="AH3" s="13"/>
      <c r="AI3" s="13"/>
      <c r="AJ3" s="13"/>
      <c r="AK3" s="13"/>
      <c r="AL3" s="13"/>
      <c r="AM3" s="13"/>
      <c r="AN3" s="13"/>
      <c r="AO3" s="13"/>
    </row>
    <row r="4" spans="21:41" x14ac:dyDescent="0.25">
      <c r="U4" s="13"/>
      <c r="V4" s="13"/>
      <c r="W4" s="13"/>
      <c r="X4" s="13"/>
      <c r="Y4" s="13"/>
      <c r="Z4" s="13"/>
      <c r="AA4" s="13"/>
      <c r="AB4" s="13"/>
      <c r="AC4" s="13"/>
      <c r="AD4" s="13"/>
      <c r="AE4" s="13"/>
      <c r="AF4" s="13"/>
      <c r="AG4" s="13"/>
      <c r="AH4" s="13"/>
      <c r="AI4" s="13"/>
      <c r="AJ4" s="13"/>
      <c r="AK4" s="13"/>
      <c r="AL4" s="13"/>
      <c r="AM4" s="13"/>
      <c r="AN4" s="13"/>
      <c r="AO4" s="13"/>
    </row>
    <row r="5" spans="21:41" x14ac:dyDescent="0.25">
      <c r="U5" s="13"/>
      <c r="V5" s="13"/>
      <c r="W5" s="13"/>
      <c r="X5" s="13"/>
      <c r="Y5" s="13"/>
      <c r="Z5" s="13"/>
      <c r="AA5" s="13"/>
      <c r="AB5" s="13"/>
      <c r="AC5" s="13"/>
      <c r="AD5" s="13"/>
      <c r="AE5" s="13"/>
      <c r="AF5" s="13"/>
      <c r="AG5" s="13"/>
      <c r="AH5" s="13"/>
      <c r="AI5" s="13"/>
      <c r="AJ5" s="13"/>
      <c r="AK5" s="13"/>
      <c r="AL5" s="13"/>
      <c r="AM5" s="13"/>
      <c r="AN5" s="13"/>
      <c r="AO5" s="13"/>
    </row>
    <row r="6" spans="21:41" x14ac:dyDescent="0.25">
      <c r="U6" s="13"/>
      <c r="V6" s="13"/>
      <c r="W6" s="13"/>
      <c r="X6" s="13"/>
      <c r="Y6" s="13"/>
      <c r="Z6" s="13"/>
      <c r="AA6" s="13"/>
      <c r="AB6" s="13"/>
      <c r="AC6" s="13"/>
      <c r="AD6" s="13"/>
      <c r="AE6" s="13"/>
      <c r="AF6" s="13"/>
      <c r="AG6" s="13"/>
      <c r="AH6" s="13"/>
      <c r="AI6" s="13"/>
      <c r="AJ6" s="13"/>
      <c r="AK6" s="13"/>
      <c r="AL6" s="13"/>
      <c r="AM6" s="13"/>
      <c r="AN6" s="13"/>
      <c r="AO6" s="13"/>
    </row>
    <row r="7" spans="21:41" x14ac:dyDescent="0.25">
      <c r="U7" s="13"/>
      <c r="V7" s="13"/>
      <c r="W7" s="13"/>
      <c r="X7" s="13"/>
      <c r="Y7" s="13"/>
      <c r="Z7" s="13"/>
      <c r="AA7" s="13"/>
      <c r="AB7" s="13"/>
      <c r="AC7" s="13"/>
      <c r="AD7" s="13"/>
      <c r="AE7" s="13"/>
      <c r="AF7" s="13"/>
      <c r="AG7" s="13"/>
      <c r="AH7" s="13"/>
      <c r="AI7" s="13"/>
      <c r="AJ7" s="13"/>
      <c r="AK7" s="13"/>
      <c r="AL7" s="13"/>
      <c r="AM7" s="13"/>
      <c r="AN7" s="13"/>
      <c r="AO7" s="13"/>
    </row>
    <row r="8" spans="21:41" x14ac:dyDescent="0.25">
      <c r="U8" s="13"/>
      <c r="V8" s="13"/>
      <c r="W8" s="13"/>
      <c r="X8" s="13"/>
      <c r="Y8" s="13"/>
      <c r="Z8" s="13"/>
      <c r="AA8" s="13"/>
      <c r="AB8" s="13"/>
      <c r="AC8" s="13"/>
      <c r="AD8" s="13"/>
      <c r="AE8" s="13"/>
      <c r="AF8" s="13"/>
      <c r="AG8" s="13"/>
      <c r="AH8" s="13"/>
      <c r="AI8" s="13"/>
      <c r="AJ8" s="13"/>
      <c r="AK8" s="13"/>
      <c r="AL8" s="13"/>
      <c r="AM8" s="13"/>
      <c r="AN8" s="13"/>
      <c r="AO8" s="13"/>
    </row>
    <row r="9" spans="21:41" x14ac:dyDescent="0.25">
      <c r="U9" s="13"/>
      <c r="V9" s="13"/>
      <c r="W9" s="13"/>
      <c r="X9" s="13"/>
      <c r="Y9" s="13"/>
      <c r="Z9" s="13"/>
      <c r="AA9" s="13"/>
      <c r="AB9" s="13"/>
      <c r="AC9" s="13"/>
      <c r="AD9" s="13"/>
      <c r="AE9" s="13"/>
      <c r="AF9" s="13"/>
      <c r="AG9" s="13"/>
      <c r="AH9" s="13"/>
      <c r="AI9" s="13"/>
      <c r="AJ9" s="13"/>
      <c r="AK9" s="13"/>
      <c r="AL9" s="13"/>
      <c r="AM9" s="13"/>
      <c r="AN9" s="13"/>
      <c r="AO9" s="13"/>
    </row>
    <row r="10" spans="21:41" x14ac:dyDescent="0.25">
      <c r="U10" s="13"/>
      <c r="V10" s="13"/>
      <c r="W10" s="13"/>
      <c r="X10" s="13"/>
      <c r="Y10" s="13"/>
      <c r="Z10" s="13"/>
      <c r="AA10" s="13"/>
      <c r="AB10" s="13"/>
      <c r="AC10" s="13"/>
      <c r="AD10" s="13"/>
      <c r="AE10" s="13"/>
      <c r="AF10" s="13"/>
      <c r="AG10" s="13"/>
      <c r="AH10" s="13"/>
      <c r="AI10" s="13"/>
      <c r="AJ10" s="13"/>
      <c r="AK10" s="13"/>
      <c r="AL10" s="13"/>
      <c r="AM10" s="13"/>
      <c r="AN10" s="13"/>
      <c r="AO10" s="13"/>
    </row>
    <row r="11" spans="21:41" x14ac:dyDescent="0.25">
      <c r="U11" s="13"/>
      <c r="V11" s="13"/>
      <c r="W11" s="13"/>
      <c r="X11" s="13"/>
      <c r="Y11" s="13"/>
      <c r="Z11" s="13"/>
      <c r="AA11" s="13"/>
      <c r="AB11" s="13"/>
      <c r="AC11" s="13"/>
      <c r="AD11" s="13"/>
      <c r="AE11" s="13"/>
      <c r="AF11" s="13"/>
      <c r="AG11" s="13"/>
      <c r="AH11" s="13"/>
      <c r="AI11" s="13"/>
      <c r="AJ11" s="13"/>
      <c r="AK11" s="13"/>
      <c r="AL11" s="13"/>
      <c r="AM11" s="13"/>
      <c r="AN11" s="13"/>
      <c r="AO11" s="13"/>
    </row>
    <row r="12" spans="21:41" x14ac:dyDescent="0.25">
      <c r="U12" s="13"/>
      <c r="V12" s="13"/>
      <c r="W12" s="13"/>
      <c r="X12" s="13"/>
      <c r="Y12" s="13"/>
      <c r="Z12" s="13"/>
      <c r="AA12" s="13"/>
      <c r="AB12" s="13"/>
      <c r="AC12" s="13"/>
      <c r="AD12" s="13"/>
      <c r="AE12" s="13"/>
      <c r="AF12" s="13"/>
      <c r="AG12" s="13"/>
      <c r="AH12" s="13"/>
      <c r="AI12" s="13"/>
      <c r="AJ12" s="13"/>
      <c r="AK12" s="13"/>
      <c r="AL12" s="13"/>
      <c r="AM12" s="13"/>
      <c r="AN12" s="13"/>
      <c r="AO12" s="13"/>
    </row>
    <row r="13" spans="21:41" x14ac:dyDescent="0.25">
      <c r="U13" s="13"/>
      <c r="V13" s="13"/>
      <c r="W13" s="13"/>
      <c r="X13" s="13"/>
      <c r="Y13" s="13"/>
      <c r="Z13" s="13"/>
      <c r="AA13" s="13"/>
      <c r="AB13" s="13"/>
      <c r="AC13" s="13"/>
      <c r="AD13" s="13"/>
      <c r="AE13" s="13"/>
      <c r="AF13" s="13"/>
      <c r="AG13" s="13"/>
      <c r="AH13" s="13"/>
      <c r="AI13" s="13"/>
      <c r="AJ13" s="13"/>
      <c r="AK13" s="13"/>
      <c r="AL13" s="13"/>
      <c r="AM13" s="13"/>
      <c r="AN13" s="13"/>
      <c r="AO13" s="13"/>
    </row>
    <row r="14" spans="21:41" x14ac:dyDescent="0.25">
      <c r="U14" s="13"/>
      <c r="V14" s="13"/>
      <c r="W14" s="13"/>
      <c r="X14" s="13"/>
      <c r="Y14" s="13"/>
      <c r="Z14" s="13"/>
      <c r="AA14" s="13"/>
      <c r="AB14" s="13"/>
      <c r="AC14" s="13"/>
      <c r="AD14" s="13"/>
      <c r="AE14" s="13"/>
      <c r="AF14" s="13"/>
      <c r="AG14" s="13"/>
      <c r="AH14" s="13"/>
      <c r="AI14" s="13"/>
      <c r="AJ14" s="13"/>
      <c r="AK14" s="13"/>
      <c r="AL14" s="13"/>
      <c r="AM14" s="13"/>
      <c r="AN14" s="13"/>
      <c r="AO14" s="13"/>
    </row>
    <row r="15" spans="21:41" x14ac:dyDescent="0.25">
      <c r="U15" s="13"/>
      <c r="V15" s="13"/>
      <c r="W15" s="13"/>
      <c r="X15" s="13"/>
      <c r="Y15" s="13"/>
      <c r="Z15" s="13"/>
      <c r="AA15" s="13"/>
      <c r="AB15" s="13"/>
      <c r="AC15" s="13"/>
      <c r="AD15" s="13"/>
      <c r="AE15" s="13"/>
      <c r="AF15" s="13"/>
      <c r="AG15" s="13"/>
      <c r="AH15" s="13"/>
      <c r="AI15" s="13"/>
      <c r="AJ15" s="13"/>
      <c r="AK15" s="13"/>
      <c r="AL15" s="13"/>
      <c r="AM15" s="13"/>
      <c r="AN15" s="13"/>
      <c r="AO15" s="13"/>
    </row>
    <row r="16" spans="21:41" x14ac:dyDescent="0.25">
      <c r="U16" s="13"/>
      <c r="V16" s="13"/>
      <c r="W16" s="13"/>
      <c r="X16" s="13"/>
      <c r="Y16" s="13"/>
      <c r="Z16" s="13"/>
      <c r="AA16" s="13"/>
      <c r="AB16" s="13"/>
      <c r="AC16" s="13"/>
      <c r="AD16" s="13"/>
      <c r="AE16" s="13"/>
      <c r="AF16" s="13"/>
      <c r="AG16" s="13"/>
      <c r="AH16" s="13"/>
      <c r="AI16" s="13"/>
      <c r="AJ16" s="13"/>
      <c r="AK16" s="13"/>
      <c r="AL16" s="13"/>
      <c r="AM16" s="13"/>
      <c r="AN16" s="13"/>
      <c r="AO16" s="13"/>
    </row>
    <row r="17" spans="21:41" x14ac:dyDescent="0.25">
      <c r="U17" s="13"/>
      <c r="V17" s="13"/>
      <c r="W17" s="13"/>
      <c r="X17" s="13"/>
      <c r="Y17" s="13"/>
      <c r="Z17" s="13"/>
      <c r="AA17" s="13"/>
      <c r="AB17" s="13"/>
      <c r="AC17" s="13"/>
      <c r="AD17" s="13"/>
      <c r="AE17" s="13"/>
      <c r="AF17" s="13"/>
      <c r="AG17" s="13"/>
      <c r="AH17" s="13"/>
      <c r="AI17" s="13"/>
      <c r="AJ17" s="13"/>
      <c r="AK17" s="13"/>
      <c r="AL17" s="13"/>
      <c r="AM17" s="13"/>
      <c r="AN17" s="13"/>
      <c r="AO17" s="13"/>
    </row>
    <row r="18" spans="21:41" x14ac:dyDescent="0.25">
      <c r="U18" s="13"/>
      <c r="V18" s="13"/>
      <c r="W18" s="13"/>
      <c r="X18" s="13"/>
      <c r="Y18" s="13"/>
      <c r="Z18" s="13"/>
      <c r="AA18" s="13"/>
      <c r="AB18" s="13"/>
      <c r="AC18" s="13"/>
      <c r="AD18" s="13"/>
      <c r="AE18" s="13"/>
      <c r="AF18" s="13"/>
      <c r="AG18" s="13"/>
      <c r="AH18" s="13"/>
      <c r="AI18" s="13"/>
      <c r="AJ18" s="13"/>
      <c r="AK18" s="13"/>
      <c r="AL18" s="13"/>
      <c r="AM18" s="13"/>
      <c r="AN18" s="13"/>
      <c r="AO18" s="13"/>
    </row>
    <row r="19" spans="21:41" x14ac:dyDescent="0.25">
      <c r="U19" s="13"/>
      <c r="V19" s="13"/>
      <c r="W19" s="13"/>
      <c r="X19" s="13"/>
      <c r="Y19" s="13"/>
      <c r="Z19" s="13"/>
      <c r="AA19" s="13"/>
      <c r="AB19" s="13"/>
      <c r="AC19" s="13"/>
      <c r="AD19" s="13"/>
      <c r="AE19" s="13"/>
      <c r="AF19" s="13"/>
      <c r="AG19" s="13"/>
      <c r="AH19" s="13"/>
      <c r="AI19" s="13"/>
      <c r="AJ19" s="13"/>
      <c r="AK19" s="13"/>
      <c r="AL19" s="13"/>
      <c r="AM19" s="13"/>
      <c r="AN19" s="13"/>
      <c r="AO19" s="13"/>
    </row>
    <row r="20" spans="21:41" x14ac:dyDescent="0.25">
      <c r="U20" s="13"/>
      <c r="V20" s="13"/>
      <c r="W20" s="13"/>
      <c r="X20" s="13"/>
      <c r="Y20" s="13"/>
      <c r="Z20" s="13"/>
      <c r="AA20" s="13"/>
      <c r="AB20" s="13"/>
      <c r="AC20" s="13"/>
      <c r="AD20" s="13"/>
      <c r="AE20" s="13"/>
      <c r="AF20" s="13"/>
      <c r="AG20" s="13"/>
      <c r="AH20" s="13"/>
      <c r="AI20" s="13"/>
      <c r="AJ20" s="13"/>
      <c r="AK20" s="13"/>
      <c r="AL20" s="13"/>
      <c r="AM20" s="13"/>
      <c r="AN20" s="13"/>
      <c r="AO20" s="13"/>
    </row>
    <row r="21" spans="21:41" x14ac:dyDescent="0.25">
      <c r="U21" s="13"/>
      <c r="V21" s="13"/>
      <c r="W21" s="13"/>
      <c r="X21" s="13"/>
      <c r="Y21" s="13"/>
      <c r="Z21" s="13"/>
      <c r="AA21" s="13"/>
      <c r="AB21" s="13"/>
      <c r="AC21" s="13"/>
      <c r="AD21" s="13"/>
      <c r="AE21" s="13"/>
      <c r="AF21" s="13"/>
      <c r="AG21" s="13"/>
      <c r="AH21" s="13"/>
      <c r="AI21" s="13"/>
      <c r="AJ21" s="13"/>
      <c r="AK21" s="13"/>
      <c r="AL21" s="13"/>
      <c r="AM21" s="13"/>
      <c r="AN21" s="13"/>
      <c r="AO21" s="13"/>
    </row>
    <row r="22" spans="21:41" x14ac:dyDescent="0.25">
      <c r="U22" s="13"/>
      <c r="V22" s="13"/>
      <c r="W22" s="13"/>
      <c r="X22" s="13"/>
      <c r="Y22" s="13"/>
      <c r="Z22" s="13"/>
      <c r="AA22" s="13"/>
      <c r="AB22" s="13"/>
      <c r="AC22" s="13"/>
      <c r="AD22" s="13"/>
      <c r="AE22" s="13"/>
      <c r="AF22" s="13"/>
      <c r="AG22" s="13"/>
      <c r="AH22" s="13"/>
      <c r="AI22" s="13"/>
      <c r="AJ22" s="13"/>
      <c r="AK22" s="13"/>
      <c r="AL22" s="13"/>
      <c r="AM22" s="13"/>
      <c r="AN22" s="13"/>
      <c r="AO22" s="13"/>
    </row>
    <row r="23" spans="21:41" x14ac:dyDescent="0.25">
      <c r="U23" s="13"/>
      <c r="V23" s="13"/>
      <c r="W23" s="13"/>
      <c r="X23" s="13"/>
      <c r="Y23" s="13"/>
      <c r="Z23" s="13"/>
      <c r="AA23" s="13"/>
      <c r="AB23" s="13"/>
      <c r="AC23" s="13"/>
      <c r="AD23" s="13"/>
      <c r="AE23" s="13"/>
      <c r="AF23" s="13"/>
      <c r="AG23" s="13"/>
      <c r="AH23" s="13"/>
      <c r="AI23" s="13"/>
      <c r="AJ23" s="13"/>
      <c r="AK23" s="13"/>
      <c r="AL23" s="13"/>
      <c r="AM23" s="13"/>
      <c r="AN23" s="13"/>
      <c r="AO23" s="13"/>
    </row>
    <row r="24" spans="21:41" x14ac:dyDescent="0.25">
      <c r="U24" s="13"/>
      <c r="V24" s="13"/>
      <c r="W24" s="13"/>
      <c r="X24" s="13"/>
      <c r="Y24" s="13"/>
      <c r="Z24" s="13"/>
      <c r="AA24" s="13"/>
      <c r="AB24" s="13"/>
      <c r="AC24" s="13"/>
      <c r="AD24" s="13"/>
      <c r="AE24" s="13"/>
      <c r="AF24" s="13"/>
      <c r="AG24" s="13"/>
      <c r="AH24" s="13"/>
      <c r="AI24" s="13"/>
      <c r="AJ24" s="13"/>
      <c r="AK24" s="13"/>
      <c r="AL24" s="13"/>
      <c r="AM24" s="13"/>
      <c r="AN24" s="13"/>
      <c r="AO24" s="13"/>
    </row>
    <row r="25" spans="21:41" x14ac:dyDescent="0.25">
      <c r="U25" s="13"/>
      <c r="V25" s="13"/>
      <c r="W25" s="13"/>
      <c r="X25" s="13"/>
      <c r="Y25" s="13"/>
      <c r="Z25" s="13"/>
      <c r="AA25" s="13"/>
      <c r="AB25" s="13"/>
      <c r="AC25" s="13"/>
      <c r="AD25" s="13"/>
      <c r="AE25" s="13"/>
      <c r="AF25" s="13"/>
      <c r="AG25" s="13"/>
      <c r="AH25" s="13"/>
      <c r="AI25" s="13"/>
      <c r="AJ25" s="13"/>
      <c r="AK25" s="13"/>
      <c r="AL25" s="13"/>
      <c r="AM25" s="13"/>
      <c r="AN25" s="13"/>
      <c r="AO25" s="13"/>
    </row>
    <row r="26" spans="21:41" x14ac:dyDescent="0.25">
      <c r="U26" s="13"/>
      <c r="V26" s="13"/>
      <c r="W26" s="13"/>
      <c r="X26" s="13"/>
      <c r="Y26" s="13"/>
      <c r="Z26" s="13"/>
      <c r="AA26" s="13"/>
      <c r="AB26" s="13"/>
      <c r="AC26" s="13"/>
      <c r="AD26" s="13"/>
      <c r="AE26" s="13"/>
      <c r="AF26" s="13"/>
      <c r="AG26" s="13"/>
      <c r="AH26" s="13"/>
      <c r="AI26" s="13"/>
      <c r="AJ26" s="13"/>
      <c r="AK26" s="13"/>
      <c r="AL26" s="13"/>
      <c r="AM26" s="13"/>
      <c r="AN26" s="13"/>
      <c r="AO26" s="13"/>
    </row>
    <row r="27" spans="21:41" x14ac:dyDescent="0.25">
      <c r="U27" s="13"/>
      <c r="V27" s="13"/>
      <c r="W27" s="13"/>
      <c r="X27" s="13"/>
      <c r="Y27" s="13"/>
      <c r="Z27" s="13"/>
      <c r="AA27" s="13"/>
      <c r="AB27" s="13"/>
      <c r="AC27" s="13"/>
      <c r="AD27" s="13"/>
      <c r="AE27" s="13"/>
      <c r="AF27" s="13"/>
      <c r="AG27" s="13"/>
      <c r="AH27" s="13"/>
      <c r="AI27" s="13"/>
      <c r="AJ27" s="13"/>
      <c r="AK27" s="13"/>
      <c r="AL27" s="13"/>
      <c r="AM27" s="13"/>
      <c r="AN27" s="13"/>
      <c r="AO27" s="13"/>
    </row>
    <row r="28" spans="21:41" x14ac:dyDescent="0.25">
      <c r="U28" s="13"/>
      <c r="V28" s="13"/>
      <c r="W28" s="13"/>
      <c r="X28" s="13"/>
      <c r="Y28" s="13"/>
      <c r="Z28" s="13"/>
      <c r="AA28" s="13"/>
      <c r="AB28" s="13"/>
      <c r="AC28" s="13"/>
      <c r="AD28" s="13"/>
      <c r="AE28" s="13"/>
      <c r="AF28" s="13"/>
      <c r="AG28" s="13"/>
      <c r="AH28" s="13"/>
      <c r="AI28" s="13"/>
      <c r="AJ28" s="13"/>
      <c r="AK28" s="13"/>
      <c r="AL28" s="13"/>
      <c r="AM28" s="13"/>
      <c r="AN28" s="13"/>
      <c r="AO28" s="13"/>
    </row>
    <row r="29" spans="21:41" x14ac:dyDescent="0.25">
      <c r="U29" s="13"/>
      <c r="V29" s="13"/>
      <c r="W29" s="13"/>
      <c r="X29" s="13"/>
      <c r="Y29" s="13"/>
      <c r="Z29" s="13"/>
      <c r="AA29" s="13"/>
      <c r="AB29" s="13"/>
      <c r="AC29" s="13"/>
      <c r="AD29" s="13"/>
      <c r="AE29" s="13"/>
      <c r="AF29" s="13"/>
      <c r="AG29" s="13"/>
      <c r="AH29" s="13"/>
      <c r="AI29" s="13"/>
      <c r="AJ29" s="13"/>
      <c r="AK29" s="13"/>
      <c r="AL29" s="13"/>
      <c r="AM29" s="13"/>
      <c r="AN29" s="13"/>
      <c r="AO29" s="13"/>
    </row>
    <row r="30" spans="21:41" x14ac:dyDescent="0.25">
      <c r="U30" s="13"/>
      <c r="V30" s="13"/>
      <c r="W30" s="13"/>
      <c r="X30" s="13"/>
      <c r="Y30" s="13"/>
      <c r="Z30" s="13"/>
      <c r="AA30" s="13"/>
      <c r="AB30" s="13"/>
      <c r="AC30" s="13"/>
      <c r="AD30" s="13"/>
      <c r="AE30" s="13"/>
      <c r="AF30" s="13"/>
      <c r="AG30" s="13"/>
      <c r="AH30" s="13"/>
      <c r="AI30" s="13"/>
      <c r="AJ30" s="13"/>
      <c r="AK30" s="13"/>
      <c r="AL30" s="13"/>
      <c r="AM30" s="13"/>
      <c r="AN30" s="13"/>
      <c r="AO30" s="13"/>
    </row>
    <row r="31" spans="21:41" x14ac:dyDescent="0.25">
      <c r="U31" s="13"/>
      <c r="V31" s="13"/>
      <c r="W31" s="13"/>
      <c r="X31" s="13"/>
      <c r="Y31" s="13"/>
      <c r="Z31" s="13"/>
      <c r="AA31" s="13"/>
      <c r="AB31" s="13"/>
      <c r="AC31" s="13"/>
      <c r="AD31" s="13"/>
      <c r="AE31" s="13"/>
      <c r="AF31" s="13"/>
      <c r="AG31" s="13"/>
      <c r="AH31" s="13"/>
      <c r="AI31" s="13"/>
      <c r="AJ31" s="13"/>
      <c r="AK31" s="13"/>
      <c r="AL31" s="13"/>
      <c r="AM31" s="13"/>
      <c r="AN31" s="13"/>
      <c r="AO31" s="13"/>
    </row>
    <row r="32" spans="21:41" x14ac:dyDescent="0.25">
      <c r="U32" s="13"/>
      <c r="V32" s="13"/>
      <c r="W32" s="13"/>
      <c r="X32" s="13"/>
      <c r="Y32" s="13"/>
      <c r="Z32" s="13"/>
      <c r="AA32" s="13"/>
      <c r="AB32" s="13"/>
      <c r="AC32" s="13"/>
      <c r="AD32" s="13"/>
      <c r="AE32" s="13"/>
      <c r="AF32" s="13"/>
      <c r="AG32" s="13"/>
      <c r="AH32" s="13"/>
      <c r="AI32" s="13"/>
      <c r="AJ32" s="13"/>
      <c r="AK32" s="13"/>
      <c r="AL32" s="13"/>
      <c r="AM32" s="13"/>
      <c r="AN32" s="13"/>
      <c r="AO32" s="13"/>
    </row>
    <row r="33" spans="21:41" x14ac:dyDescent="0.25">
      <c r="U33" s="13"/>
      <c r="V33" s="13"/>
      <c r="W33" s="13"/>
      <c r="X33" s="13"/>
      <c r="Y33" s="13"/>
      <c r="Z33" s="13"/>
      <c r="AA33" s="13"/>
      <c r="AB33" s="13"/>
      <c r="AC33" s="13"/>
      <c r="AD33" s="13"/>
      <c r="AE33" s="13"/>
      <c r="AF33" s="13"/>
      <c r="AG33" s="13"/>
      <c r="AH33" s="13"/>
      <c r="AI33" s="13"/>
      <c r="AJ33" s="13"/>
      <c r="AK33" s="13"/>
      <c r="AL33" s="13"/>
      <c r="AM33" s="13"/>
      <c r="AN33" s="13"/>
      <c r="AO33" s="13"/>
    </row>
    <row r="34" spans="21:41" x14ac:dyDescent="0.25">
      <c r="U34" s="13"/>
      <c r="V34" s="13"/>
      <c r="W34" s="13"/>
      <c r="X34" s="13"/>
      <c r="Y34" s="13"/>
      <c r="Z34" s="13"/>
      <c r="AA34" s="13"/>
      <c r="AB34" s="13"/>
      <c r="AC34" s="13"/>
      <c r="AD34" s="13"/>
      <c r="AE34" s="13"/>
      <c r="AF34" s="13"/>
      <c r="AG34" s="13"/>
      <c r="AH34" s="13"/>
      <c r="AI34" s="13"/>
      <c r="AJ34" s="13"/>
      <c r="AK34" s="13"/>
      <c r="AL34" s="13"/>
      <c r="AM34" s="13"/>
      <c r="AN34" s="13"/>
      <c r="AO34" s="13"/>
    </row>
    <row r="35" spans="21:41" x14ac:dyDescent="0.25">
      <c r="U35" s="13"/>
      <c r="V35" s="13"/>
      <c r="W35" s="13"/>
      <c r="X35" s="13"/>
      <c r="Y35" s="13"/>
      <c r="Z35" s="13"/>
      <c r="AA35" s="13"/>
      <c r="AB35" s="13"/>
      <c r="AC35" s="13"/>
      <c r="AD35" s="13"/>
      <c r="AE35" s="13"/>
      <c r="AF35" s="13"/>
      <c r="AG35" s="13"/>
      <c r="AH35" s="13"/>
      <c r="AI35" s="13"/>
      <c r="AJ35" s="13"/>
      <c r="AK35" s="13"/>
      <c r="AL35" s="13"/>
      <c r="AM35" s="13"/>
      <c r="AN35" s="13"/>
      <c r="AO35" s="13"/>
    </row>
    <row r="36" spans="21:41" x14ac:dyDescent="0.25">
      <c r="U36" s="13"/>
      <c r="V36" s="13"/>
      <c r="W36" s="13"/>
      <c r="X36" s="13"/>
      <c r="Y36" s="13"/>
      <c r="Z36" s="13"/>
      <c r="AA36" s="13"/>
      <c r="AB36" s="13"/>
      <c r="AC36" s="13"/>
      <c r="AD36" s="13"/>
      <c r="AE36" s="13"/>
      <c r="AF36" s="13"/>
      <c r="AG36" s="13"/>
      <c r="AH36" s="13"/>
      <c r="AI36" s="13"/>
      <c r="AJ36" s="13"/>
      <c r="AK36" s="13"/>
      <c r="AL36" s="13"/>
      <c r="AM36" s="13"/>
      <c r="AN36" s="13"/>
      <c r="AO36" s="13"/>
    </row>
    <row r="37" spans="21:41" x14ac:dyDescent="0.25">
      <c r="U37" s="13"/>
      <c r="V37" s="13"/>
      <c r="W37" s="13"/>
      <c r="X37" s="13"/>
      <c r="Y37" s="13"/>
      <c r="Z37" s="13"/>
      <c r="AA37" s="13"/>
      <c r="AB37" s="13"/>
      <c r="AC37" s="13"/>
      <c r="AD37" s="13"/>
      <c r="AE37" s="13"/>
      <c r="AF37" s="13"/>
      <c r="AG37" s="13"/>
      <c r="AH37" s="13"/>
      <c r="AI37" s="13"/>
      <c r="AJ37" s="13"/>
      <c r="AK37" s="13"/>
      <c r="AL37" s="13"/>
      <c r="AM37" s="13"/>
      <c r="AN37" s="13"/>
      <c r="AO37" s="13"/>
    </row>
    <row r="38" spans="21:41" x14ac:dyDescent="0.25">
      <c r="U38" s="13"/>
      <c r="V38" s="13"/>
      <c r="W38" s="13"/>
      <c r="X38" s="13"/>
      <c r="Y38" s="13"/>
      <c r="Z38" s="13"/>
      <c r="AA38" s="13"/>
      <c r="AB38" s="13"/>
      <c r="AC38" s="13"/>
      <c r="AD38" s="13"/>
      <c r="AE38" s="13"/>
      <c r="AF38" s="13"/>
      <c r="AG38" s="13"/>
      <c r="AH38" s="13"/>
      <c r="AI38" s="13"/>
      <c r="AJ38" s="13"/>
      <c r="AK38" s="13"/>
      <c r="AL38" s="13"/>
      <c r="AM38" s="13"/>
      <c r="AN38" s="13"/>
      <c r="AO38" s="13"/>
    </row>
    <row r="39" spans="21:41" x14ac:dyDescent="0.25">
      <c r="U39" s="13"/>
      <c r="V39" s="13"/>
      <c r="W39" s="13"/>
      <c r="X39" s="13"/>
      <c r="Y39" s="13"/>
      <c r="Z39" s="13"/>
      <c r="AA39" s="13"/>
      <c r="AB39" s="13"/>
      <c r="AC39" s="13"/>
      <c r="AD39" s="13"/>
      <c r="AE39" s="13"/>
      <c r="AF39" s="13"/>
      <c r="AG39" s="13"/>
      <c r="AH39" s="13"/>
      <c r="AI39" s="13"/>
      <c r="AJ39" s="13"/>
      <c r="AK39" s="13"/>
      <c r="AL39" s="13"/>
      <c r="AM39" s="13"/>
      <c r="AN39" s="13"/>
      <c r="AO39" s="13"/>
    </row>
    <row r="40" spans="21:41" x14ac:dyDescent="0.25">
      <c r="U40" s="13"/>
      <c r="V40" s="13"/>
      <c r="W40" s="13"/>
      <c r="X40" s="13"/>
      <c r="Y40" s="13"/>
      <c r="Z40" s="13"/>
      <c r="AA40" s="13"/>
      <c r="AB40" s="13"/>
      <c r="AC40" s="13"/>
      <c r="AD40" s="13"/>
      <c r="AE40" s="13"/>
      <c r="AF40" s="13"/>
      <c r="AG40" s="13"/>
      <c r="AH40" s="13"/>
      <c r="AI40" s="13"/>
      <c r="AJ40" s="13"/>
      <c r="AK40" s="13"/>
      <c r="AL40" s="13"/>
      <c r="AM40" s="13"/>
      <c r="AN40" s="13"/>
      <c r="AO40" s="13"/>
    </row>
    <row r="41" spans="21:41" x14ac:dyDescent="0.25">
      <c r="U41" s="13"/>
      <c r="V41" s="13"/>
      <c r="W41" s="13"/>
      <c r="X41" s="13"/>
      <c r="Y41" s="13"/>
      <c r="Z41" s="13"/>
      <c r="AA41" s="13"/>
      <c r="AB41" s="13"/>
      <c r="AC41" s="13"/>
      <c r="AD41" s="13"/>
      <c r="AE41" s="13"/>
      <c r="AF41" s="13"/>
      <c r="AG41" s="13"/>
      <c r="AH41" s="13"/>
      <c r="AI41" s="13"/>
      <c r="AJ41" s="13"/>
      <c r="AK41" s="13"/>
      <c r="AL41" s="13"/>
      <c r="AM41" s="13"/>
      <c r="AN41" s="13"/>
      <c r="AO41" s="13"/>
    </row>
    <row r="42" spans="21:41" x14ac:dyDescent="0.25">
      <c r="U42" s="13"/>
      <c r="V42" s="13"/>
      <c r="W42" s="13"/>
      <c r="X42" s="13"/>
      <c r="Y42" s="13"/>
      <c r="Z42" s="13"/>
      <c r="AA42" s="13"/>
      <c r="AB42" s="13"/>
      <c r="AC42" s="13"/>
      <c r="AD42" s="13"/>
      <c r="AE42" s="13"/>
      <c r="AF42" s="13"/>
      <c r="AG42" s="13"/>
      <c r="AH42" s="13"/>
      <c r="AI42" s="13"/>
      <c r="AJ42" s="13"/>
      <c r="AK42" s="13"/>
      <c r="AL42" s="13"/>
      <c r="AM42" s="13"/>
      <c r="AN42" s="13"/>
      <c r="AO42" s="13"/>
    </row>
    <row r="43" spans="21:41" x14ac:dyDescent="0.25">
      <c r="U43" s="13"/>
      <c r="V43" s="13"/>
      <c r="W43" s="13"/>
      <c r="X43" s="13"/>
      <c r="Y43" s="13"/>
      <c r="Z43" s="13"/>
      <c r="AA43" s="13"/>
      <c r="AB43" s="13"/>
      <c r="AC43" s="13"/>
      <c r="AD43" s="13"/>
      <c r="AE43" s="13"/>
      <c r="AF43" s="13"/>
      <c r="AG43" s="13"/>
      <c r="AH43" s="13"/>
      <c r="AI43" s="13"/>
      <c r="AJ43" s="13"/>
      <c r="AK43" s="13"/>
      <c r="AL43" s="13"/>
      <c r="AM43" s="13"/>
      <c r="AN43" s="13"/>
      <c r="AO43" s="13"/>
    </row>
    <row r="44" spans="21:41" x14ac:dyDescent="0.25">
      <c r="U44" s="13"/>
      <c r="V44" s="13"/>
      <c r="W44" s="13"/>
      <c r="X44" s="13"/>
      <c r="Y44" s="13"/>
      <c r="Z44" s="13"/>
      <c r="AA44" s="13"/>
      <c r="AB44" s="13"/>
      <c r="AC44" s="13"/>
      <c r="AD44" s="13"/>
      <c r="AE44" s="13"/>
      <c r="AF44" s="13"/>
      <c r="AG44" s="13"/>
      <c r="AH44" s="13"/>
      <c r="AI44" s="13"/>
      <c r="AJ44" s="13"/>
      <c r="AK44" s="13"/>
      <c r="AL44" s="13"/>
      <c r="AM44" s="13"/>
      <c r="AN44" s="13"/>
      <c r="AO44" s="13"/>
    </row>
    <row r="45" spans="21:41" x14ac:dyDescent="0.25">
      <c r="U45" s="13"/>
      <c r="V45" s="13"/>
      <c r="W45" s="13"/>
      <c r="X45" s="13"/>
      <c r="Y45" s="13"/>
      <c r="Z45" s="13"/>
      <c r="AA45" s="13"/>
      <c r="AB45" s="13"/>
      <c r="AC45" s="13"/>
      <c r="AD45" s="13"/>
      <c r="AE45" s="13"/>
      <c r="AF45" s="13"/>
      <c r="AG45" s="13"/>
      <c r="AH45" s="13"/>
      <c r="AI45" s="13"/>
      <c r="AJ45" s="13"/>
      <c r="AK45" s="13"/>
      <c r="AL45" s="13"/>
      <c r="AM45" s="13"/>
      <c r="AN45" s="13"/>
      <c r="AO45" s="13"/>
    </row>
    <row r="46" spans="21:41" x14ac:dyDescent="0.25">
      <c r="U46" s="13"/>
      <c r="V46" s="13"/>
      <c r="W46" s="13"/>
      <c r="X46" s="13"/>
      <c r="Y46" s="13"/>
      <c r="Z46" s="13"/>
      <c r="AA46" s="13"/>
      <c r="AB46" s="13"/>
      <c r="AC46" s="13"/>
      <c r="AD46" s="13"/>
      <c r="AE46" s="13"/>
      <c r="AF46" s="13"/>
      <c r="AG46" s="13"/>
      <c r="AH46" s="13"/>
      <c r="AI46" s="13"/>
      <c r="AJ46" s="13"/>
      <c r="AK46" s="13"/>
      <c r="AL46" s="13"/>
      <c r="AM46" s="13"/>
      <c r="AN46" s="13"/>
      <c r="AO46" s="13"/>
    </row>
    <row r="47" spans="21:41" x14ac:dyDescent="0.25">
      <c r="U47" s="13"/>
      <c r="V47" s="13"/>
      <c r="W47" s="13"/>
      <c r="X47" s="13"/>
      <c r="Y47" s="13"/>
      <c r="Z47" s="13"/>
      <c r="AA47" s="13"/>
      <c r="AB47" s="13"/>
      <c r="AC47" s="13"/>
      <c r="AD47" s="13"/>
      <c r="AE47" s="13"/>
      <c r="AF47" s="13"/>
      <c r="AG47" s="13"/>
      <c r="AH47" s="13"/>
      <c r="AI47" s="13"/>
      <c r="AJ47" s="13"/>
      <c r="AK47" s="13"/>
      <c r="AL47" s="13"/>
      <c r="AM47" s="13"/>
      <c r="AN47" s="13"/>
      <c r="AO47" s="13"/>
    </row>
    <row r="48" spans="21:41" x14ac:dyDescent="0.25">
      <c r="U48" s="13"/>
      <c r="V48" s="13"/>
      <c r="W48" s="13"/>
      <c r="X48" s="13"/>
      <c r="Y48" s="13"/>
      <c r="Z48" s="13"/>
      <c r="AA48" s="13"/>
      <c r="AB48" s="13"/>
      <c r="AC48" s="13"/>
      <c r="AD48" s="13"/>
      <c r="AE48" s="13"/>
      <c r="AF48" s="13"/>
      <c r="AG48" s="13"/>
      <c r="AH48" s="13"/>
      <c r="AI48" s="13"/>
      <c r="AJ48" s="13"/>
      <c r="AK48" s="13"/>
      <c r="AL48" s="13"/>
      <c r="AM48" s="13"/>
      <c r="AN48" s="13"/>
      <c r="AO48" s="13"/>
    </row>
    <row r="49" spans="21:41" x14ac:dyDescent="0.25">
      <c r="U49" s="13"/>
      <c r="V49" s="13"/>
      <c r="W49" s="13"/>
      <c r="X49" s="13"/>
      <c r="Y49" s="13"/>
      <c r="Z49" s="13"/>
      <c r="AA49" s="13"/>
      <c r="AB49" s="13"/>
      <c r="AC49" s="13"/>
      <c r="AD49" s="13"/>
      <c r="AE49" s="13"/>
      <c r="AF49" s="13"/>
      <c r="AG49" s="13"/>
      <c r="AH49" s="13"/>
      <c r="AI49" s="13"/>
      <c r="AJ49" s="13"/>
      <c r="AK49" s="13"/>
      <c r="AL49" s="13"/>
      <c r="AM49" s="13"/>
      <c r="AN49" s="13"/>
      <c r="AO49" s="13"/>
    </row>
    <row r="50" spans="21:41" x14ac:dyDescent="0.25">
      <c r="U50" s="13"/>
      <c r="V50" s="13"/>
      <c r="W50" s="13"/>
      <c r="X50" s="13"/>
      <c r="Y50" s="13"/>
      <c r="Z50" s="13"/>
      <c r="AA50" s="13"/>
      <c r="AB50" s="13"/>
      <c r="AC50" s="13"/>
      <c r="AD50" s="13"/>
      <c r="AE50" s="13"/>
      <c r="AF50" s="13"/>
      <c r="AG50" s="13"/>
      <c r="AH50" s="13"/>
      <c r="AI50" s="13"/>
      <c r="AJ50" s="13"/>
      <c r="AK50" s="13"/>
      <c r="AL50" s="13"/>
      <c r="AM50" s="13"/>
      <c r="AN50" s="13"/>
      <c r="AO50" s="13"/>
    </row>
    <row r="51" spans="21:41" x14ac:dyDescent="0.25">
      <c r="U51" s="13"/>
      <c r="V51" s="13"/>
      <c r="W51" s="13"/>
      <c r="X51" s="13"/>
      <c r="Y51" s="13"/>
      <c r="Z51" s="13"/>
      <c r="AA51" s="13"/>
      <c r="AB51" s="13"/>
      <c r="AC51" s="13"/>
      <c r="AD51" s="13"/>
      <c r="AE51" s="13"/>
      <c r="AF51" s="13"/>
      <c r="AG51" s="13"/>
      <c r="AH51" s="13"/>
      <c r="AI51" s="13"/>
      <c r="AJ51" s="13"/>
      <c r="AK51" s="13"/>
      <c r="AL51" s="13"/>
      <c r="AM51" s="13"/>
      <c r="AN51" s="13"/>
      <c r="AO51" s="13"/>
    </row>
    <row r="52" spans="21:41" x14ac:dyDescent="0.25">
      <c r="U52" s="13"/>
      <c r="V52" s="13"/>
      <c r="W52" s="13"/>
      <c r="X52" s="13"/>
      <c r="Y52" s="13"/>
      <c r="Z52" s="13"/>
      <c r="AA52" s="13"/>
      <c r="AB52" s="13"/>
      <c r="AC52" s="13"/>
      <c r="AD52" s="13"/>
      <c r="AE52" s="13"/>
      <c r="AF52" s="13"/>
      <c r="AG52" s="13"/>
      <c r="AH52" s="13"/>
      <c r="AI52" s="13"/>
      <c r="AJ52" s="13"/>
      <c r="AK52" s="13"/>
      <c r="AL52" s="13"/>
      <c r="AM52" s="13"/>
      <c r="AN52" s="13"/>
      <c r="AO52" s="13"/>
    </row>
    <row r="53" spans="21:41" x14ac:dyDescent="0.25">
      <c r="U53" s="13"/>
      <c r="V53" s="13"/>
      <c r="W53" s="13"/>
      <c r="X53" s="13"/>
      <c r="Y53" s="13"/>
      <c r="Z53" s="13"/>
      <c r="AA53" s="13"/>
      <c r="AB53" s="13"/>
      <c r="AC53" s="13"/>
      <c r="AD53" s="13"/>
      <c r="AE53" s="13"/>
      <c r="AF53" s="13"/>
      <c r="AG53" s="13"/>
      <c r="AH53" s="13"/>
      <c r="AI53" s="13"/>
      <c r="AJ53" s="13"/>
      <c r="AK53" s="13"/>
      <c r="AL53" s="13"/>
      <c r="AM53" s="13"/>
      <c r="AN53" s="13"/>
      <c r="AO53" s="13"/>
    </row>
    <row r="54" spans="21:41" x14ac:dyDescent="0.25">
      <c r="U54" s="13"/>
      <c r="V54" s="13"/>
      <c r="W54" s="13"/>
      <c r="X54" s="13"/>
      <c r="Y54" s="13"/>
      <c r="Z54" s="13"/>
      <c r="AA54" s="13"/>
      <c r="AB54" s="13"/>
      <c r="AC54" s="13"/>
      <c r="AD54" s="13"/>
      <c r="AE54" s="13"/>
      <c r="AF54" s="13"/>
      <c r="AG54" s="13"/>
      <c r="AH54" s="13"/>
      <c r="AI54" s="13"/>
      <c r="AJ54" s="13"/>
      <c r="AK54" s="13"/>
      <c r="AL54" s="13"/>
      <c r="AM54" s="13"/>
      <c r="AN54" s="13"/>
      <c r="AO54" s="13"/>
    </row>
    <row r="55" spans="21:41" x14ac:dyDescent="0.25">
      <c r="U55" s="13"/>
      <c r="V55" s="13"/>
      <c r="W55" s="13"/>
      <c r="X55" s="13"/>
      <c r="Y55" s="13"/>
      <c r="Z55" s="13"/>
      <c r="AA55" s="13"/>
      <c r="AB55" s="13"/>
      <c r="AC55" s="13"/>
      <c r="AD55" s="13"/>
      <c r="AE55" s="13"/>
      <c r="AF55" s="13"/>
      <c r="AG55" s="13"/>
      <c r="AH55" s="13"/>
      <c r="AI55" s="13"/>
      <c r="AJ55" s="13"/>
      <c r="AK55" s="13"/>
      <c r="AL55" s="13"/>
      <c r="AM55" s="13"/>
      <c r="AN55" s="13"/>
      <c r="AO55" s="13"/>
    </row>
    <row r="56" spans="21:41" x14ac:dyDescent="0.25">
      <c r="U56" s="13"/>
      <c r="V56" s="13"/>
      <c r="W56" s="13"/>
      <c r="X56" s="13"/>
      <c r="Y56" s="13"/>
      <c r="Z56" s="13"/>
      <c r="AA56" s="13"/>
      <c r="AB56" s="13"/>
      <c r="AC56" s="13"/>
      <c r="AD56" s="13"/>
      <c r="AE56" s="13"/>
      <c r="AF56" s="13"/>
      <c r="AG56" s="13"/>
      <c r="AH56" s="13"/>
      <c r="AI56" s="13"/>
      <c r="AJ56" s="13"/>
      <c r="AK56" s="13"/>
      <c r="AL56" s="13"/>
      <c r="AM56" s="13"/>
      <c r="AN56" s="13"/>
      <c r="AO56" s="13"/>
    </row>
    <row r="57" spans="21:41" x14ac:dyDescent="0.25">
      <c r="U57" s="13"/>
      <c r="V57" s="13"/>
      <c r="W57" s="13"/>
      <c r="X57" s="13"/>
      <c r="Y57" s="13"/>
      <c r="Z57" s="13"/>
      <c r="AA57" s="13"/>
      <c r="AB57" s="13"/>
      <c r="AC57" s="13"/>
      <c r="AD57" s="13"/>
      <c r="AE57" s="13"/>
      <c r="AF57" s="13"/>
      <c r="AG57" s="13"/>
      <c r="AH57" s="13"/>
      <c r="AI57" s="13"/>
      <c r="AJ57" s="13"/>
      <c r="AK57" s="13"/>
      <c r="AL57" s="13"/>
      <c r="AM57" s="13"/>
      <c r="AN57" s="13"/>
      <c r="AO57" s="13"/>
    </row>
    <row r="58" spans="21:41" x14ac:dyDescent="0.25">
      <c r="U58" s="13"/>
      <c r="V58" s="13"/>
      <c r="W58" s="13"/>
      <c r="X58" s="13"/>
      <c r="Y58" s="13"/>
      <c r="Z58" s="13"/>
      <c r="AA58" s="13"/>
      <c r="AB58" s="13"/>
      <c r="AC58" s="13"/>
      <c r="AD58" s="13"/>
      <c r="AE58" s="13"/>
      <c r="AF58" s="13"/>
      <c r="AG58" s="13"/>
      <c r="AH58" s="13"/>
      <c r="AI58" s="13"/>
      <c r="AJ58" s="13"/>
      <c r="AK58" s="13"/>
      <c r="AL58" s="13"/>
      <c r="AM58" s="13"/>
      <c r="AN58" s="13"/>
      <c r="AO58" s="13"/>
    </row>
    <row r="59" spans="21:41" x14ac:dyDescent="0.25">
      <c r="U59" s="13"/>
      <c r="V59" s="13"/>
      <c r="W59" s="13"/>
      <c r="X59" s="13"/>
      <c r="Y59" s="13"/>
      <c r="Z59" s="13"/>
      <c r="AA59" s="13"/>
      <c r="AB59" s="13"/>
      <c r="AC59" s="13"/>
      <c r="AD59" s="13"/>
      <c r="AE59" s="13"/>
      <c r="AF59" s="13"/>
      <c r="AG59" s="13"/>
      <c r="AH59" s="13"/>
      <c r="AI59" s="13"/>
      <c r="AJ59" s="13"/>
      <c r="AK59" s="13"/>
      <c r="AL59" s="13"/>
      <c r="AM59" s="13"/>
      <c r="AN59" s="13"/>
      <c r="AO59" s="13"/>
    </row>
    <row r="60" spans="21:41" x14ac:dyDescent="0.25">
      <c r="U60" s="13"/>
      <c r="V60" s="13"/>
      <c r="W60" s="13"/>
      <c r="X60" s="13"/>
      <c r="Y60" s="13"/>
      <c r="Z60" s="13"/>
      <c r="AA60" s="13"/>
      <c r="AB60" s="13"/>
      <c r="AC60" s="13"/>
      <c r="AD60" s="13"/>
      <c r="AE60" s="13"/>
      <c r="AF60" s="13"/>
      <c r="AG60" s="13"/>
      <c r="AH60" s="13"/>
      <c r="AI60" s="13"/>
      <c r="AJ60" s="13"/>
      <c r="AK60" s="13"/>
      <c r="AL60" s="13"/>
      <c r="AM60" s="13"/>
      <c r="AN60" s="13"/>
      <c r="AO60" s="13"/>
    </row>
    <row r="61" spans="21:41" x14ac:dyDescent="0.25">
      <c r="U61" s="13"/>
      <c r="V61" s="13"/>
      <c r="W61" s="13"/>
      <c r="X61" s="13"/>
      <c r="Y61" s="13"/>
      <c r="Z61" s="13"/>
      <c r="AA61" s="13"/>
      <c r="AB61" s="13"/>
      <c r="AC61" s="13"/>
      <c r="AD61" s="13"/>
      <c r="AE61" s="13"/>
      <c r="AF61" s="13"/>
      <c r="AG61" s="13"/>
      <c r="AH61" s="13"/>
      <c r="AI61" s="13"/>
      <c r="AJ61" s="13"/>
      <c r="AK61" s="13"/>
      <c r="AL61" s="13"/>
      <c r="AM61" s="13"/>
      <c r="AN61" s="13"/>
      <c r="AO61" s="13"/>
    </row>
    <row r="62" spans="21:41" x14ac:dyDescent="0.25">
      <c r="U62" s="13"/>
      <c r="V62" s="13"/>
      <c r="W62" s="13"/>
      <c r="X62" s="13"/>
      <c r="Y62" s="13"/>
      <c r="Z62" s="13"/>
      <c r="AA62" s="13"/>
      <c r="AB62" s="13"/>
      <c r="AC62" s="13"/>
      <c r="AD62" s="13"/>
      <c r="AE62" s="13"/>
      <c r="AF62" s="13"/>
      <c r="AG62" s="13"/>
      <c r="AH62" s="13"/>
      <c r="AI62" s="13"/>
      <c r="AJ62" s="13"/>
      <c r="AK62" s="13"/>
      <c r="AL62" s="13"/>
      <c r="AM62" s="13"/>
      <c r="AN62" s="13"/>
      <c r="AO62" s="13"/>
    </row>
    <row r="63" spans="21:41" x14ac:dyDescent="0.25">
      <c r="U63" s="13"/>
      <c r="V63" s="13"/>
      <c r="W63" s="13"/>
      <c r="X63" s="13"/>
      <c r="Y63" s="13"/>
      <c r="Z63" s="13"/>
      <c r="AA63" s="13"/>
      <c r="AB63" s="13"/>
      <c r="AC63" s="13"/>
      <c r="AD63" s="13"/>
      <c r="AE63" s="13"/>
      <c r="AF63" s="13"/>
      <c r="AG63" s="13"/>
      <c r="AH63" s="13"/>
      <c r="AI63" s="13"/>
      <c r="AJ63" s="13"/>
      <c r="AK63" s="13"/>
      <c r="AL63" s="13"/>
      <c r="AM63" s="13"/>
      <c r="AN63" s="13"/>
      <c r="AO63" s="13"/>
    </row>
    <row r="64" spans="21:41" x14ac:dyDescent="0.25">
      <c r="U64" s="13"/>
      <c r="V64" s="13"/>
      <c r="W64" s="13"/>
      <c r="X64" s="13"/>
      <c r="Y64" s="13"/>
      <c r="Z64" s="13"/>
      <c r="AA64" s="13"/>
      <c r="AB64" s="13"/>
      <c r="AC64" s="13"/>
      <c r="AD64" s="13"/>
      <c r="AE64" s="13"/>
      <c r="AF64" s="13"/>
      <c r="AG64" s="13"/>
      <c r="AH64" s="13"/>
      <c r="AI64" s="13"/>
      <c r="AJ64" s="13"/>
      <c r="AK64" s="13"/>
      <c r="AL64" s="13"/>
      <c r="AM64" s="13"/>
      <c r="AN64" s="13"/>
      <c r="AO64" s="13"/>
    </row>
    <row r="65" spans="21:41" x14ac:dyDescent="0.25">
      <c r="U65" s="13"/>
      <c r="V65" s="13"/>
      <c r="W65" s="13"/>
      <c r="X65" s="13"/>
      <c r="Y65" s="13"/>
      <c r="Z65" s="13"/>
      <c r="AA65" s="13"/>
      <c r="AB65" s="13"/>
      <c r="AC65" s="13"/>
      <c r="AD65" s="13"/>
      <c r="AE65" s="13"/>
      <c r="AF65" s="13"/>
      <c r="AG65" s="13"/>
      <c r="AH65" s="13"/>
      <c r="AI65" s="13"/>
      <c r="AJ65" s="13"/>
      <c r="AK65" s="13"/>
      <c r="AL65" s="13"/>
      <c r="AM65" s="13"/>
      <c r="AN65" s="13"/>
      <c r="AO65" s="13"/>
    </row>
    <row r="66" spans="21:41" x14ac:dyDescent="0.25">
      <c r="U66" s="13"/>
      <c r="V66" s="13"/>
      <c r="W66" s="13"/>
      <c r="X66" s="13"/>
      <c r="Y66" s="13"/>
      <c r="Z66" s="13"/>
      <c r="AA66" s="13"/>
      <c r="AB66" s="13"/>
      <c r="AC66" s="13"/>
      <c r="AD66" s="13"/>
      <c r="AE66" s="13"/>
      <c r="AF66" s="13"/>
      <c r="AG66" s="13"/>
      <c r="AH66" s="13"/>
      <c r="AI66" s="13"/>
      <c r="AJ66" s="13"/>
      <c r="AK66" s="13"/>
      <c r="AL66" s="13"/>
      <c r="AM66" s="13"/>
      <c r="AN66" s="13"/>
      <c r="AO66" s="13"/>
    </row>
    <row r="67" spans="21:41" x14ac:dyDescent="0.25">
      <c r="U67" s="13"/>
      <c r="V67" s="13"/>
      <c r="W67" s="13"/>
      <c r="X67" s="13"/>
      <c r="Y67" s="13"/>
      <c r="Z67" s="13"/>
      <c r="AA67" s="13"/>
      <c r="AB67" s="13"/>
      <c r="AC67" s="13"/>
      <c r="AD67" s="13"/>
      <c r="AE67" s="13"/>
      <c r="AF67" s="13"/>
      <c r="AG67" s="13"/>
      <c r="AH67" s="13"/>
      <c r="AI67" s="13"/>
      <c r="AJ67" s="13"/>
      <c r="AK67" s="13"/>
      <c r="AL67" s="13"/>
      <c r="AM67" s="13"/>
      <c r="AN67" s="13"/>
      <c r="AO67" s="13"/>
    </row>
    <row r="68" spans="21:41" x14ac:dyDescent="0.25">
      <c r="U68" s="13"/>
      <c r="V68" s="13"/>
      <c r="W68" s="13"/>
      <c r="X68" s="13"/>
      <c r="Y68" s="13"/>
      <c r="Z68" s="13"/>
      <c r="AA68" s="13"/>
      <c r="AB68" s="13"/>
      <c r="AC68" s="13"/>
      <c r="AD68" s="13"/>
      <c r="AE68" s="13"/>
      <c r="AF68" s="13"/>
      <c r="AG68" s="13"/>
      <c r="AH68" s="13"/>
      <c r="AI68" s="13"/>
      <c r="AJ68" s="13"/>
      <c r="AK68" s="13"/>
      <c r="AL68" s="13"/>
      <c r="AM68" s="13"/>
      <c r="AN68" s="13"/>
      <c r="AO68" s="13"/>
    </row>
    <row r="69" spans="21:41" x14ac:dyDescent="0.25">
      <c r="U69" s="13"/>
      <c r="V69" s="13"/>
      <c r="W69" s="13"/>
      <c r="X69" s="13"/>
      <c r="Y69" s="13"/>
      <c r="Z69" s="13"/>
      <c r="AA69" s="13"/>
      <c r="AB69" s="13"/>
      <c r="AC69" s="13"/>
      <c r="AD69" s="13"/>
      <c r="AE69" s="13"/>
      <c r="AF69" s="13"/>
      <c r="AG69" s="13"/>
      <c r="AH69" s="13"/>
      <c r="AI69" s="13"/>
      <c r="AJ69" s="13"/>
      <c r="AK69" s="13"/>
      <c r="AL69" s="13"/>
      <c r="AM69" s="13"/>
      <c r="AN69" s="13"/>
      <c r="AO69" s="13"/>
    </row>
    <row r="70" spans="21:41" x14ac:dyDescent="0.25">
      <c r="U70" s="13"/>
      <c r="V70" s="13"/>
      <c r="W70" s="13"/>
      <c r="X70" s="13"/>
      <c r="Y70" s="13"/>
      <c r="Z70" s="13"/>
      <c r="AA70" s="13"/>
      <c r="AB70" s="13"/>
      <c r="AC70" s="13"/>
      <c r="AD70" s="13"/>
      <c r="AE70" s="13"/>
      <c r="AF70" s="13"/>
      <c r="AG70" s="13"/>
      <c r="AH70" s="13"/>
      <c r="AI70" s="13"/>
      <c r="AJ70" s="13"/>
      <c r="AK70" s="13"/>
      <c r="AL70" s="13"/>
      <c r="AM70" s="13"/>
      <c r="AN70" s="13"/>
      <c r="AO70" s="13"/>
    </row>
    <row r="71" spans="21:41" x14ac:dyDescent="0.25">
      <c r="U71" s="13"/>
      <c r="V71" s="13"/>
      <c r="W71" s="13"/>
      <c r="X71" s="13"/>
      <c r="Y71" s="13"/>
      <c r="Z71" s="13"/>
      <c r="AA71" s="13"/>
      <c r="AB71" s="13"/>
      <c r="AC71" s="13"/>
      <c r="AD71" s="13"/>
      <c r="AE71" s="13"/>
      <c r="AF71" s="13"/>
      <c r="AG71" s="13"/>
      <c r="AH71" s="13"/>
      <c r="AI71" s="13"/>
      <c r="AJ71" s="13"/>
      <c r="AK71" s="13"/>
      <c r="AL71" s="13"/>
      <c r="AM71" s="13"/>
      <c r="AN71" s="13"/>
      <c r="AO71" s="13"/>
    </row>
    <row r="72" spans="21:41" x14ac:dyDescent="0.25">
      <c r="U72" s="13"/>
      <c r="V72" s="13"/>
      <c r="W72" s="13"/>
      <c r="X72" s="13"/>
      <c r="Y72" s="13"/>
      <c r="Z72" s="13"/>
      <c r="AA72" s="13"/>
      <c r="AB72" s="13"/>
      <c r="AC72" s="13"/>
      <c r="AD72" s="13"/>
      <c r="AE72" s="13"/>
      <c r="AF72" s="13"/>
      <c r="AG72" s="13"/>
      <c r="AH72" s="13"/>
      <c r="AI72" s="13"/>
      <c r="AJ72" s="13"/>
      <c r="AK72" s="13"/>
      <c r="AL72" s="13"/>
      <c r="AM72" s="13"/>
      <c r="AN72" s="13"/>
      <c r="AO72" s="13"/>
    </row>
    <row r="73" spans="21:41" x14ac:dyDescent="0.25">
      <c r="U73" s="13"/>
      <c r="V73" s="13"/>
      <c r="W73" s="13"/>
      <c r="X73" s="13"/>
      <c r="Y73" s="13"/>
      <c r="Z73" s="13"/>
      <c r="AA73" s="13"/>
      <c r="AB73" s="13"/>
      <c r="AC73" s="13"/>
      <c r="AD73" s="13"/>
      <c r="AE73" s="13"/>
      <c r="AF73" s="13"/>
      <c r="AG73" s="13"/>
      <c r="AH73" s="13"/>
      <c r="AI73" s="13"/>
      <c r="AJ73" s="13"/>
      <c r="AK73" s="13"/>
      <c r="AL73" s="13"/>
      <c r="AM73" s="13"/>
      <c r="AN73" s="13"/>
      <c r="AO73" s="13"/>
    </row>
    <row r="74" spans="21:41" x14ac:dyDescent="0.25">
      <c r="U74" s="13"/>
      <c r="V74" s="13"/>
      <c r="W74" s="13"/>
      <c r="X74" s="13"/>
      <c r="Y74" s="13"/>
      <c r="Z74" s="13"/>
      <c r="AA74" s="13"/>
      <c r="AB74" s="13"/>
      <c r="AC74" s="13"/>
      <c r="AD74" s="13"/>
      <c r="AE74" s="13"/>
      <c r="AF74" s="13"/>
      <c r="AG74" s="13"/>
      <c r="AH74" s="13"/>
      <c r="AI74" s="13"/>
      <c r="AJ74" s="13"/>
      <c r="AK74" s="13"/>
      <c r="AL74" s="13"/>
      <c r="AM74" s="13"/>
      <c r="AN74" s="13"/>
      <c r="AO74" s="13"/>
    </row>
    <row r="75" spans="21:41" x14ac:dyDescent="0.25">
      <c r="U75" s="13"/>
      <c r="V75" s="13"/>
      <c r="W75" s="13"/>
      <c r="X75" s="13"/>
      <c r="Y75" s="13"/>
      <c r="Z75" s="13"/>
      <c r="AA75" s="13"/>
      <c r="AB75" s="13"/>
      <c r="AC75" s="13"/>
      <c r="AD75" s="13"/>
      <c r="AE75" s="13"/>
      <c r="AF75" s="13"/>
      <c r="AG75" s="13"/>
      <c r="AH75" s="13"/>
      <c r="AI75" s="13"/>
      <c r="AJ75" s="13"/>
      <c r="AK75" s="13"/>
      <c r="AL75" s="13"/>
      <c r="AM75" s="13"/>
      <c r="AN75" s="13"/>
      <c r="AO75" s="13"/>
    </row>
    <row r="76" spans="21:41" x14ac:dyDescent="0.25">
      <c r="U76" s="13"/>
      <c r="V76" s="13"/>
      <c r="W76" s="13"/>
      <c r="X76" s="13"/>
      <c r="Y76" s="13"/>
      <c r="Z76" s="13"/>
      <c r="AA76" s="13"/>
      <c r="AB76" s="13"/>
      <c r="AC76" s="13"/>
      <c r="AD76" s="13"/>
      <c r="AE76" s="13"/>
      <c r="AF76" s="13"/>
      <c r="AG76" s="13"/>
      <c r="AH76" s="13"/>
      <c r="AI76" s="13"/>
      <c r="AJ76" s="13"/>
      <c r="AK76" s="13"/>
      <c r="AL76" s="13"/>
      <c r="AM76" s="13"/>
      <c r="AN76" s="13"/>
      <c r="AO76" s="13"/>
    </row>
    <row r="77" spans="21:41" x14ac:dyDescent="0.25">
      <c r="U77" s="13"/>
      <c r="V77" s="13"/>
      <c r="W77" s="13"/>
      <c r="X77" s="13"/>
      <c r="Y77" s="13"/>
      <c r="Z77" s="13"/>
      <c r="AA77" s="13"/>
      <c r="AB77" s="13"/>
      <c r="AC77" s="13"/>
      <c r="AD77" s="13"/>
      <c r="AE77" s="13"/>
      <c r="AF77" s="13"/>
      <c r="AG77" s="13"/>
      <c r="AH77" s="13"/>
      <c r="AI77" s="13"/>
      <c r="AJ77" s="13"/>
      <c r="AK77" s="13"/>
      <c r="AL77" s="13"/>
      <c r="AM77" s="13"/>
      <c r="AN77" s="13"/>
      <c r="AO77" s="13"/>
    </row>
    <row r="78" spans="21:41" x14ac:dyDescent="0.25">
      <c r="U78" s="13"/>
      <c r="V78" s="13"/>
      <c r="W78" s="13"/>
      <c r="X78" s="13"/>
      <c r="Y78" s="13"/>
      <c r="Z78" s="13"/>
      <c r="AA78" s="13"/>
      <c r="AB78" s="13"/>
      <c r="AC78" s="13"/>
      <c r="AD78" s="13"/>
      <c r="AE78" s="13"/>
      <c r="AF78" s="13"/>
      <c r="AG78" s="13"/>
      <c r="AH78" s="13"/>
      <c r="AI78" s="13"/>
      <c r="AJ78" s="13"/>
      <c r="AK78" s="13"/>
      <c r="AL78" s="13"/>
      <c r="AM78" s="13"/>
      <c r="AN78" s="13"/>
      <c r="AO78" s="13"/>
    </row>
    <row r="79" spans="21:41" x14ac:dyDescent="0.25">
      <c r="U79" s="13"/>
      <c r="V79" s="13"/>
      <c r="W79" s="13"/>
      <c r="X79" s="13"/>
      <c r="Y79" s="13"/>
      <c r="Z79" s="13"/>
      <c r="AA79" s="13"/>
      <c r="AB79" s="13"/>
      <c r="AC79" s="13"/>
      <c r="AD79" s="13"/>
      <c r="AE79" s="13"/>
      <c r="AF79" s="13"/>
      <c r="AG79" s="13"/>
      <c r="AH79" s="13"/>
      <c r="AI79" s="13"/>
      <c r="AJ79" s="13"/>
      <c r="AK79" s="13"/>
      <c r="AL79" s="13"/>
      <c r="AM79" s="13"/>
      <c r="AN79" s="13"/>
      <c r="AO79" s="13"/>
    </row>
    <row r="80" spans="21:41" x14ac:dyDescent="0.25">
      <c r="U80" s="13"/>
      <c r="V80" s="13"/>
      <c r="W80" s="13"/>
      <c r="X80" s="13"/>
      <c r="Y80" s="13"/>
      <c r="Z80" s="13"/>
      <c r="AA80" s="13"/>
      <c r="AB80" s="13"/>
      <c r="AC80" s="13"/>
      <c r="AD80" s="13"/>
      <c r="AE80" s="13"/>
      <c r="AF80" s="13"/>
      <c r="AG80" s="13"/>
      <c r="AH80" s="13"/>
      <c r="AI80" s="13"/>
      <c r="AJ80" s="13"/>
      <c r="AK80" s="13"/>
      <c r="AL80" s="13"/>
      <c r="AM80" s="13"/>
      <c r="AN80" s="13"/>
      <c r="AO80" s="13"/>
    </row>
    <row r="81" spans="21:41" x14ac:dyDescent="0.25">
      <c r="U81" s="13"/>
      <c r="V81" s="13"/>
      <c r="W81" s="13"/>
      <c r="X81" s="13"/>
      <c r="Y81" s="13"/>
      <c r="Z81" s="13"/>
      <c r="AA81" s="13"/>
      <c r="AB81" s="13"/>
      <c r="AC81" s="13"/>
      <c r="AD81" s="13"/>
      <c r="AE81" s="13"/>
      <c r="AF81" s="13"/>
      <c r="AG81" s="13"/>
      <c r="AH81" s="13"/>
      <c r="AI81" s="13"/>
      <c r="AJ81" s="13"/>
      <c r="AK81" s="13"/>
      <c r="AL81" s="13"/>
      <c r="AM81" s="13"/>
      <c r="AN81" s="13"/>
      <c r="AO81" s="13"/>
    </row>
    <row r="82" spans="21:41" x14ac:dyDescent="0.25">
      <c r="U82" s="13"/>
      <c r="V82" s="13"/>
      <c r="W82" s="13"/>
      <c r="X82" s="13"/>
      <c r="Y82" s="13"/>
      <c r="Z82" s="13"/>
      <c r="AA82" s="13"/>
      <c r="AB82" s="13"/>
      <c r="AC82" s="13"/>
      <c r="AD82" s="13"/>
      <c r="AE82" s="13"/>
      <c r="AF82" s="13"/>
      <c r="AG82" s="13"/>
      <c r="AH82" s="13"/>
      <c r="AI82" s="13"/>
      <c r="AJ82" s="13"/>
      <c r="AK82" s="13"/>
      <c r="AL82" s="13"/>
      <c r="AM82" s="13"/>
      <c r="AN82" s="13"/>
      <c r="AO82" s="13"/>
    </row>
    <row r="83" spans="21:41" x14ac:dyDescent="0.25">
      <c r="U83" s="13"/>
      <c r="V83" s="13"/>
      <c r="W83" s="13"/>
      <c r="X83" s="13"/>
      <c r="Y83" s="13"/>
      <c r="Z83" s="13"/>
      <c r="AA83" s="13"/>
      <c r="AB83" s="13"/>
      <c r="AC83" s="13"/>
      <c r="AD83" s="13"/>
      <c r="AE83" s="13"/>
      <c r="AF83" s="13"/>
      <c r="AG83" s="13"/>
      <c r="AH83" s="13"/>
      <c r="AI83" s="13"/>
      <c r="AJ83" s="13"/>
      <c r="AK83" s="13"/>
      <c r="AL83" s="13"/>
      <c r="AM83" s="13"/>
      <c r="AN83" s="13"/>
      <c r="AO83" s="13"/>
    </row>
    <row r="84" spans="21:41" x14ac:dyDescent="0.25">
      <c r="U84" s="13"/>
      <c r="V84" s="13"/>
      <c r="W84" s="13"/>
      <c r="X84" s="13"/>
      <c r="Y84" s="13"/>
      <c r="Z84" s="13"/>
      <c r="AA84" s="13"/>
      <c r="AB84" s="13"/>
      <c r="AC84" s="13"/>
      <c r="AD84" s="13"/>
      <c r="AE84" s="13"/>
      <c r="AF84" s="13"/>
      <c r="AG84" s="13"/>
      <c r="AH84" s="13"/>
      <c r="AI84" s="13"/>
      <c r="AJ84" s="13"/>
      <c r="AK84" s="13"/>
      <c r="AL84" s="13"/>
      <c r="AM84" s="13"/>
      <c r="AN84" s="13"/>
      <c r="AO84" s="13"/>
    </row>
    <row r="85" spans="21:41" x14ac:dyDescent="0.25">
      <c r="U85" s="13"/>
      <c r="V85" s="13"/>
      <c r="W85" s="13"/>
      <c r="X85" s="13"/>
      <c r="Y85" s="13"/>
      <c r="Z85" s="13"/>
      <c r="AA85" s="13"/>
      <c r="AB85" s="13"/>
      <c r="AC85" s="13"/>
      <c r="AD85" s="13"/>
      <c r="AE85" s="13"/>
      <c r="AF85" s="13"/>
      <c r="AG85" s="13"/>
      <c r="AH85" s="13"/>
      <c r="AI85" s="13"/>
      <c r="AJ85" s="13"/>
      <c r="AK85" s="13"/>
      <c r="AL85" s="13"/>
      <c r="AM85" s="13"/>
      <c r="AN85" s="13"/>
      <c r="AO85" s="13"/>
    </row>
    <row r="86" spans="21:41" x14ac:dyDescent="0.25">
      <c r="U86" s="13"/>
      <c r="V86" s="13"/>
      <c r="W86" s="13"/>
      <c r="X86" s="13"/>
      <c r="Y86" s="13"/>
      <c r="Z86" s="13"/>
      <c r="AA86" s="13"/>
      <c r="AB86" s="13"/>
      <c r="AC86" s="13"/>
      <c r="AD86" s="13"/>
      <c r="AE86" s="13"/>
      <c r="AF86" s="13"/>
      <c r="AG86" s="13"/>
      <c r="AH86" s="13"/>
      <c r="AI86" s="13"/>
      <c r="AJ86" s="13"/>
      <c r="AK86" s="13"/>
      <c r="AL86" s="13"/>
      <c r="AM86" s="13"/>
      <c r="AN86" s="13"/>
      <c r="AO86" s="13"/>
    </row>
    <row r="87" spans="21:41" x14ac:dyDescent="0.25">
      <c r="U87" s="13"/>
      <c r="V87" s="13"/>
      <c r="W87" s="13"/>
      <c r="X87" s="13"/>
      <c r="Y87" s="13"/>
      <c r="Z87" s="13"/>
      <c r="AA87" s="13"/>
      <c r="AB87" s="13"/>
      <c r="AC87" s="13"/>
      <c r="AD87" s="13"/>
      <c r="AE87" s="13"/>
      <c r="AF87" s="13"/>
      <c r="AG87" s="13"/>
      <c r="AH87" s="13"/>
      <c r="AI87" s="13"/>
      <c r="AJ87" s="13"/>
      <c r="AK87" s="13"/>
      <c r="AL87" s="13"/>
      <c r="AM87" s="13"/>
      <c r="AN87" s="13"/>
      <c r="AO87" s="13"/>
    </row>
    <row r="88" spans="21:41" x14ac:dyDescent="0.25">
      <c r="U88" s="13"/>
      <c r="V88" s="13"/>
      <c r="W88" s="13"/>
      <c r="X88" s="13"/>
      <c r="Y88" s="13"/>
      <c r="Z88" s="13"/>
      <c r="AA88" s="13"/>
      <c r="AB88" s="13"/>
      <c r="AC88" s="13"/>
      <c r="AD88" s="13"/>
      <c r="AE88" s="13"/>
      <c r="AF88" s="13"/>
      <c r="AG88" s="13"/>
      <c r="AH88" s="13"/>
      <c r="AI88" s="13"/>
      <c r="AJ88" s="13"/>
      <c r="AK88" s="13"/>
      <c r="AL88" s="13"/>
      <c r="AM88" s="13"/>
      <c r="AN88" s="13"/>
      <c r="AO88" s="13"/>
    </row>
    <row r="89" spans="21:41" x14ac:dyDescent="0.25">
      <c r="U89" s="13"/>
      <c r="V89" s="13"/>
      <c r="W89" s="13"/>
      <c r="X89" s="13"/>
      <c r="Y89" s="13"/>
      <c r="Z89" s="13"/>
      <c r="AA89" s="13"/>
      <c r="AB89" s="13"/>
      <c r="AC89" s="13"/>
      <c r="AD89" s="13"/>
      <c r="AE89" s="13"/>
      <c r="AF89" s="13"/>
      <c r="AG89" s="13"/>
      <c r="AH89" s="13"/>
      <c r="AI89" s="13"/>
      <c r="AJ89" s="13"/>
      <c r="AK89" s="13"/>
      <c r="AL89" s="13"/>
      <c r="AM89" s="13"/>
      <c r="AN89" s="13"/>
      <c r="AO89" s="13"/>
    </row>
    <row r="90" spans="21:41" x14ac:dyDescent="0.25">
      <c r="U90" s="13"/>
      <c r="V90" s="13"/>
      <c r="W90" s="13"/>
      <c r="X90" s="13"/>
      <c r="Y90" s="13"/>
      <c r="Z90" s="13"/>
      <c r="AA90" s="13"/>
      <c r="AB90" s="13"/>
      <c r="AC90" s="13"/>
      <c r="AD90" s="13"/>
      <c r="AE90" s="13"/>
      <c r="AF90" s="13"/>
      <c r="AG90" s="13"/>
      <c r="AH90" s="13"/>
      <c r="AI90" s="13"/>
      <c r="AJ90" s="13"/>
      <c r="AK90" s="13"/>
      <c r="AL90" s="13"/>
      <c r="AM90" s="13"/>
      <c r="AN90" s="13"/>
      <c r="AO90" s="13"/>
    </row>
    <row r="91" spans="21:41" x14ac:dyDescent="0.25">
      <c r="U91" s="13"/>
      <c r="V91" s="13"/>
      <c r="W91" s="13"/>
      <c r="X91" s="13"/>
      <c r="Y91" s="13"/>
      <c r="Z91" s="13"/>
      <c r="AA91" s="13"/>
      <c r="AB91" s="13"/>
      <c r="AC91" s="13"/>
      <c r="AD91" s="13"/>
      <c r="AE91" s="13"/>
      <c r="AF91" s="13"/>
      <c r="AG91" s="13"/>
      <c r="AH91" s="13"/>
      <c r="AI91" s="13"/>
      <c r="AJ91" s="13"/>
      <c r="AK91" s="13"/>
      <c r="AL91" s="13"/>
      <c r="AM91" s="13"/>
      <c r="AN91" s="13"/>
      <c r="AO91" s="13"/>
    </row>
    <row r="92" spans="21:41" x14ac:dyDescent="0.25">
      <c r="U92" s="13"/>
      <c r="V92" s="13"/>
      <c r="W92" s="13"/>
      <c r="X92" s="13"/>
      <c r="Y92" s="13"/>
      <c r="Z92" s="13"/>
      <c r="AA92" s="13"/>
      <c r="AB92" s="13"/>
      <c r="AC92" s="13"/>
      <c r="AD92" s="13"/>
      <c r="AE92" s="13"/>
      <c r="AF92" s="13"/>
      <c r="AG92" s="13"/>
      <c r="AH92" s="13"/>
      <c r="AI92" s="13"/>
      <c r="AJ92" s="13"/>
      <c r="AK92" s="13"/>
      <c r="AL92" s="13"/>
      <c r="AM92" s="13"/>
      <c r="AN92" s="13"/>
      <c r="AO92" s="13"/>
    </row>
    <row r="93" spans="21:41" x14ac:dyDescent="0.25">
      <c r="U93" s="13"/>
      <c r="V93" s="13"/>
      <c r="W93" s="13"/>
      <c r="X93" s="13"/>
      <c r="Y93" s="13"/>
      <c r="Z93" s="13"/>
      <c r="AA93" s="13"/>
      <c r="AB93" s="13"/>
      <c r="AC93" s="13"/>
      <c r="AD93" s="13"/>
      <c r="AE93" s="13"/>
      <c r="AF93" s="13"/>
      <c r="AG93" s="13"/>
      <c r="AH93" s="13"/>
      <c r="AI93" s="13"/>
      <c r="AJ93" s="13"/>
      <c r="AK93" s="13"/>
      <c r="AL93" s="13"/>
      <c r="AM93" s="13"/>
      <c r="AN93" s="13"/>
      <c r="AO93" s="13"/>
    </row>
    <row r="94" spans="21:41" x14ac:dyDescent="0.25">
      <c r="U94" s="13"/>
      <c r="V94" s="13"/>
      <c r="W94" s="13"/>
      <c r="X94" s="13"/>
      <c r="Y94" s="13"/>
      <c r="Z94" s="13"/>
      <c r="AA94" s="13"/>
      <c r="AB94" s="13"/>
      <c r="AC94" s="13"/>
      <c r="AD94" s="13"/>
      <c r="AE94" s="13"/>
      <c r="AF94" s="13"/>
      <c r="AG94" s="13"/>
      <c r="AH94" s="13"/>
      <c r="AI94" s="13"/>
      <c r="AJ94" s="13"/>
      <c r="AK94" s="13"/>
      <c r="AL94" s="13"/>
      <c r="AM94" s="13"/>
      <c r="AN94" s="13"/>
      <c r="AO94" s="13"/>
    </row>
    <row r="95" spans="21:41" x14ac:dyDescent="0.25">
      <c r="U95" s="13"/>
      <c r="V95" s="13"/>
      <c r="W95" s="13"/>
      <c r="X95" s="13"/>
      <c r="Y95" s="13"/>
      <c r="Z95" s="13"/>
      <c r="AA95" s="13"/>
      <c r="AB95" s="13"/>
      <c r="AC95" s="13"/>
      <c r="AD95" s="13"/>
      <c r="AE95" s="13"/>
      <c r="AF95" s="13"/>
      <c r="AG95" s="13"/>
      <c r="AH95" s="13"/>
      <c r="AI95" s="13"/>
      <c r="AJ95" s="13"/>
      <c r="AK95" s="13"/>
      <c r="AL95" s="13"/>
      <c r="AM95" s="13"/>
      <c r="AN95" s="13"/>
      <c r="AO95" s="13"/>
    </row>
    <row r="96" spans="21:41" x14ac:dyDescent="0.25">
      <c r="U96" s="13"/>
      <c r="V96" s="13"/>
      <c r="W96" s="13"/>
      <c r="X96" s="13"/>
      <c r="Y96" s="13"/>
      <c r="Z96" s="13"/>
      <c r="AA96" s="13"/>
      <c r="AB96" s="13"/>
      <c r="AC96" s="13"/>
      <c r="AD96" s="13"/>
      <c r="AE96" s="13"/>
      <c r="AF96" s="13"/>
      <c r="AG96" s="13"/>
      <c r="AH96" s="13"/>
      <c r="AI96" s="13"/>
      <c r="AJ96" s="13"/>
      <c r="AK96" s="13"/>
      <c r="AL96" s="13"/>
      <c r="AM96" s="13"/>
      <c r="AN96" s="13"/>
      <c r="AO96" s="13"/>
    </row>
    <row r="97" spans="21:41" x14ac:dyDescent="0.25">
      <c r="U97" s="13"/>
      <c r="V97" s="13"/>
      <c r="W97" s="13"/>
      <c r="X97" s="13"/>
      <c r="Y97" s="13"/>
      <c r="Z97" s="13"/>
      <c r="AA97" s="13"/>
      <c r="AB97" s="13"/>
      <c r="AC97" s="13"/>
      <c r="AD97" s="13"/>
      <c r="AE97" s="13"/>
      <c r="AF97" s="13"/>
      <c r="AG97" s="13"/>
      <c r="AH97" s="13"/>
      <c r="AI97" s="13"/>
      <c r="AJ97" s="13"/>
      <c r="AK97" s="13"/>
      <c r="AL97" s="13"/>
      <c r="AM97" s="13"/>
      <c r="AN97" s="13"/>
      <c r="AO97" s="13"/>
    </row>
    <row r="98" spans="21:41" x14ac:dyDescent="0.25">
      <c r="U98" s="13"/>
      <c r="V98" s="13"/>
      <c r="W98" s="13"/>
      <c r="X98" s="13"/>
      <c r="Y98" s="13"/>
      <c r="Z98" s="13"/>
      <c r="AA98" s="13"/>
      <c r="AB98" s="13"/>
      <c r="AC98" s="13"/>
      <c r="AD98" s="13"/>
      <c r="AE98" s="13"/>
      <c r="AF98" s="13"/>
      <c r="AG98" s="13"/>
      <c r="AH98" s="13"/>
      <c r="AI98" s="13"/>
      <c r="AJ98" s="13"/>
      <c r="AK98" s="13"/>
      <c r="AL98" s="13"/>
      <c r="AM98" s="13"/>
      <c r="AN98" s="13"/>
      <c r="AO98" s="13"/>
    </row>
    <row r="99" spans="21:41" x14ac:dyDescent="0.25">
      <c r="U99" s="13"/>
      <c r="V99" s="13"/>
      <c r="W99" s="13"/>
      <c r="X99" s="13"/>
      <c r="Y99" s="13"/>
      <c r="Z99" s="13"/>
      <c r="AA99" s="13"/>
      <c r="AB99" s="13"/>
      <c r="AC99" s="13"/>
      <c r="AD99" s="13"/>
      <c r="AE99" s="13"/>
      <c r="AF99" s="13"/>
      <c r="AG99" s="13"/>
      <c r="AH99" s="13"/>
      <c r="AI99" s="13"/>
      <c r="AJ99" s="13"/>
      <c r="AK99" s="13"/>
      <c r="AL99" s="13"/>
      <c r="AM99" s="13"/>
      <c r="AN99" s="13"/>
      <c r="AO99" s="13"/>
    </row>
    <row r="100" spans="21:41" x14ac:dyDescent="0.25">
      <c r="U100" s="13"/>
      <c r="V100" s="13"/>
      <c r="W100" s="13"/>
      <c r="X100" s="13"/>
      <c r="Y100" s="13"/>
      <c r="Z100" s="13"/>
      <c r="AA100" s="13"/>
      <c r="AB100" s="13"/>
      <c r="AC100" s="13"/>
      <c r="AD100" s="13"/>
      <c r="AE100" s="13"/>
      <c r="AF100" s="13"/>
      <c r="AG100" s="13"/>
      <c r="AH100" s="13"/>
      <c r="AI100" s="13"/>
      <c r="AJ100" s="13"/>
      <c r="AK100" s="13"/>
      <c r="AL100" s="13"/>
      <c r="AM100" s="13"/>
      <c r="AN100" s="13"/>
      <c r="AO100" s="13"/>
    </row>
    <row r="101" spans="21:41" x14ac:dyDescent="0.25">
      <c r="U101" s="13"/>
      <c r="V101" s="13"/>
      <c r="W101" s="13"/>
      <c r="X101" s="13"/>
      <c r="Y101" s="13"/>
      <c r="Z101" s="13"/>
      <c r="AA101" s="13"/>
      <c r="AB101" s="13"/>
      <c r="AC101" s="13"/>
      <c r="AD101" s="13"/>
      <c r="AE101" s="13"/>
      <c r="AF101" s="13"/>
      <c r="AG101" s="13"/>
      <c r="AH101" s="13"/>
      <c r="AI101" s="13"/>
      <c r="AJ101" s="13"/>
      <c r="AK101" s="13"/>
      <c r="AL101" s="13"/>
      <c r="AM101" s="13"/>
      <c r="AN101" s="13"/>
      <c r="AO101" s="13"/>
    </row>
    <row r="102" spans="21:41" x14ac:dyDescent="0.25">
      <c r="U102" s="13"/>
      <c r="V102" s="13"/>
      <c r="W102" s="13"/>
      <c r="X102" s="13"/>
      <c r="Y102" s="13"/>
      <c r="Z102" s="13"/>
      <c r="AA102" s="13"/>
      <c r="AB102" s="13"/>
      <c r="AC102" s="13"/>
      <c r="AD102" s="13"/>
      <c r="AE102" s="13"/>
      <c r="AF102" s="13"/>
      <c r="AG102" s="13"/>
      <c r="AH102" s="13"/>
      <c r="AI102" s="13"/>
      <c r="AJ102" s="13"/>
      <c r="AK102" s="13"/>
      <c r="AL102" s="13"/>
      <c r="AM102" s="13"/>
      <c r="AN102" s="13"/>
      <c r="AO102" s="13"/>
    </row>
    <row r="103" spans="21:41" x14ac:dyDescent="0.25">
      <c r="U103" s="13"/>
      <c r="V103" s="13"/>
      <c r="W103" s="13"/>
      <c r="X103" s="13"/>
      <c r="Y103" s="13"/>
      <c r="Z103" s="13"/>
      <c r="AA103" s="13"/>
      <c r="AB103" s="13"/>
      <c r="AC103" s="13"/>
      <c r="AD103" s="13"/>
      <c r="AE103" s="13"/>
      <c r="AF103" s="13"/>
      <c r="AG103" s="13"/>
      <c r="AH103" s="13"/>
      <c r="AI103" s="13"/>
      <c r="AJ103" s="13"/>
      <c r="AK103" s="13"/>
      <c r="AL103" s="13"/>
      <c r="AM103" s="13"/>
      <c r="AN103" s="13"/>
      <c r="AO103" s="13"/>
    </row>
    <row r="104" spans="21:41" x14ac:dyDescent="0.25">
      <c r="U104" s="13"/>
      <c r="V104" s="13"/>
      <c r="W104" s="13"/>
      <c r="X104" s="13"/>
      <c r="Y104" s="13"/>
      <c r="Z104" s="13"/>
      <c r="AA104" s="13"/>
      <c r="AB104" s="13"/>
      <c r="AC104" s="13"/>
      <c r="AD104" s="13"/>
      <c r="AE104" s="13"/>
      <c r="AF104" s="13"/>
      <c r="AG104" s="13"/>
      <c r="AH104" s="13"/>
      <c r="AI104" s="13"/>
      <c r="AJ104" s="13"/>
      <c r="AK104" s="13"/>
      <c r="AL104" s="13"/>
      <c r="AM104" s="13"/>
      <c r="AN104" s="13"/>
      <c r="AO104" s="13"/>
    </row>
    <row r="105" spans="21:41" x14ac:dyDescent="0.25">
      <c r="U105" s="13"/>
      <c r="V105" s="13"/>
      <c r="W105" s="13"/>
      <c r="X105" s="13"/>
      <c r="Y105" s="13"/>
      <c r="Z105" s="13"/>
      <c r="AA105" s="13"/>
      <c r="AB105" s="13"/>
      <c r="AC105" s="13"/>
      <c r="AD105" s="13"/>
      <c r="AE105" s="13"/>
      <c r="AF105" s="13"/>
      <c r="AG105" s="13"/>
      <c r="AH105" s="13"/>
      <c r="AI105" s="13"/>
      <c r="AJ105" s="13"/>
      <c r="AK105" s="13"/>
      <c r="AL105" s="13"/>
      <c r="AM105" s="13"/>
      <c r="AN105" s="13"/>
      <c r="AO105" s="13"/>
    </row>
    <row r="106" spans="21:41" x14ac:dyDescent="0.25">
      <c r="U106" s="13"/>
      <c r="V106" s="13"/>
      <c r="W106" s="13"/>
      <c r="X106" s="13"/>
      <c r="Y106" s="13"/>
      <c r="Z106" s="13"/>
      <c r="AA106" s="13"/>
      <c r="AB106" s="13"/>
      <c r="AC106" s="13"/>
      <c r="AD106" s="13"/>
      <c r="AE106" s="13"/>
      <c r="AF106" s="13"/>
      <c r="AG106" s="13"/>
      <c r="AH106" s="13"/>
      <c r="AI106" s="13"/>
      <c r="AJ106" s="13"/>
      <c r="AK106" s="13"/>
      <c r="AL106" s="13"/>
      <c r="AM106" s="13"/>
      <c r="AN106" s="13"/>
      <c r="AO106" s="13"/>
    </row>
    <row r="107" spans="21:41" x14ac:dyDescent="0.25">
      <c r="U107" s="13"/>
      <c r="V107" s="13"/>
      <c r="W107" s="13"/>
      <c r="X107" s="13"/>
      <c r="Y107" s="13"/>
      <c r="Z107" s="13"/>
      <c r="AA107" s="13"/>
      <c r="AB107" s="13"/>
      <c r="AC107" s="13"/>
      <c r="AD107" s="13"/>
      <c r="AE107" s="13"/>
      <c r="AF107" s="13"/>
      <c r="AG107" s="13"/>
      <c r="AH107" s="13"/>
      <c r="AI107" s="13"/>
      <c r="AJ107" s="13"/>
      <c r="AK107" s="13"/>
      <c r="AL107" s="13"/>
      <c r="AM107" s="13"/>
      <c r="AN107" s="13"/>
      <c r="AO107" s="13"/>
    </row>
    <row r="108" spans="21:41" x14ac:dyDescent="0.25">
      <c r="U108" s="13"/>
      <c r="V108" s="13"/>
      <c r="W108" s="13"/>
      <c r="X108" s="13"/>
      <c r="Y108" s="13"/>
      <c r="Z108" s="13"/>
      <c r="AA108" s="13"/>
      <c r="AB108" s="13"/>
      <c r="AC108" s="13"/>
      <c r="AD108" s="13"/>
      <c r="AE108" s="13"/>
      <c r="AF108" s="13"/>
      <c r="AG108" s="13"/>
      <c r="AH108" s="13"/>
      <c r="AI108" s="13"/>
      <c r="AJ108" s="13"/>
      <c r="AK108" s="13"/>
      <c r="AL108" s="13"/>
      <c r="AM108" s="13"/>
      <c r="AN108" s="13"/>
      <c r="AO108" s="13"/>
    </row>
    <row r="109" spans="21:41" x14ac:dyDescent="0.25">
      <c r="U109" s="13"/>
      <c r="V109" s="13"/>
      <c r="W109" s="13"/>
      <c r="X109" s="13"/>
      <c r="Y109" s="13"/>
      <c r="Z109" s="13"/>
      <c r="AA109" s="13"/>
      <c r="AB109" s="13"/>
      <c r="AC109" s="13"/>
      <c r="AD109" s="13"/>
      <c r="AE109" s="13"/>
      <c r="AF109" s="13"/>
      <c r="AG109" s="13"/>
      <c r="AH109" s="13"/>
      <c r="AI109" s="13"/>
      <c r="AJ109" s="13"/>
      <c r="AK109" s="13"/>
      <c r="AL109" s="13"/>
      <c r="AM109" s="13"/>
      <c r="AN109" s="13"/>
      <c r="AO109" s="13"/>
    </row>
    <row r="110" spans="21:41" x14ac:dyDescent="0.25">
      <c r="U110" s="13"/>
      <c r="V110" s="13"/>
      <c r="W110" s="13"/>
      <c r="X110" s="13"/>
      <c r="Y110" s="13"/>
      <c r="Z110" s="13"/>
      <c r="AA110" s="13"/>
      <c r="AB110" s="13"/>
      <c r="AC110" s="13"/>
      <c r="AD110" s="13"/>
      <c r="AE110" s="13"/>
      <c r="AF110" s="13"/>
      <c r="AG110" s="13"/>
      <c r="AH110" s="13"/>
      <c r="AI110" s="13"/>
      <c r="AJ110" s="13"/>
      <c r="AK110" s="13"/>
      <c r="AL110" s="13"/>
      <c r="AM110" s="13"/>
      <c r="AN110" s="13"/>
      <c r="AO110" s="13"/>
    </row>
    <row r="111" spans="21:41" x14ac:dyDescent="0.25">
      <c r="U111" s="13"/>
      <c r="V111" s="13"/>
      <c r="W111" s="13"/>
      <c r="X111" s="13"/>
      <c r="Y111" s="13"/>
      <c r="Z111" s="13"/>
      <c r="AA111" s="13"/>
      <c r="AB111" s="13"/>
      <c r="AC111" s="13"/>
      <c r="AD111" s="13"/>
      <c r="AE111" s="13"/>
      <c r="AF111" s="13"/>
      <c r="AG111" s="13"/>
      <c r="AH111" s="13"/>
      <c r="AI111" s="13"/>
      <c r="AJ111" s="13"/>
      <c r="AK111" s="13"/>
      <c r="AL111" s="13"/>
      <c r="AM111" s="13"/>
      <c r="AN111" s="13"/>
      <c r="AO111" s="13"/>
    </row>
    <row r="112" spans="21:41" x14ac:dyDescent="0.25">
      <c r="U112" s="13"/>
      <c r="V112" s="13"/>
      <c r="W112" s="13"/>
      <c r="X112" s="13"/>
      <c r="Y112" s="13"/>
      <c r="Z112" s="13"/>
      <c r="AA112" s="13"/>
      <c r="AB112" s="13"/>
      <c r="AC112" s="13"/>
      <c r="AD112" s="13"/>
      <c r="AE112" s="13"/>
      <c r="AF112" s="13"/>
      <c r="AG112" s="13"/>
      <c r="AH112" s="13"/>
      <c r="AI112" s="13"/>
      <c r="AJ112" s="13"/>
      <c r="AK112" s="13"/>
      <c r="AL112" s="13"/>
      <c r="AM112" s="13"/>
      <c r="AN112" s="13"/>
      <c r="AO112" s="13"/>
    </row>
    <row r="113" spans="21:41" x14ac:dyDescent="0.25">
      <c r="U113" s="13"/>
      <c r="V113" s="13"/>
      <c r="W113" s="13"/>
      <c r="X113" s="13"/>
      <c r="Y113" s="13"/>
      <c r="Z113" s="13"/>
      <c r="AA113" s="13"/>
      <c r="AB113" s="13"/>
      <c r="AC113" s="13"/>
      <c r="AD113" s="13"/>
      <c r="AE113" s="13"/>
      <c r="AF113" s="13"/>
      <c r="AG113" s="13"/>
      <c r="AH113" s="13"/>
      <c r="AI113" s="13"/>
      <c r="AJ113" s="13"/>
      <c r="AK113" s="13"/>
      <c r="AL113" s="13"/>
      <c r="AM113" s="13"/>
      <c r="AN113" s="13"/>
      <c r="AO113" s="13"/>
    </row>
    <row r="114" spans="21:41" x14ac:dyDescent="0.25">
      <c r="U114" s="13"/>
      <c r="V114" s="13"/>
      <c r="W114" s="13"/>
      <c r="X114" s="13"/>
      <c r="Y114" s="13"/>
      <c r="Z114" s="13"/>
      <c r="AA114" s="13"/>
      <c r="AB114" s="13"/>
      <c r="AC114" s="13"/>
      <c r="AD114" s="13"/>
      <c r="AE114" s="13"/>
      <c r="AF114" s="13"/>
      <c r="AG114" s="13"/>
      <c r="AH114" s="13"/>
      <c r="AI114" s="13"/>
      <c r="AJ114" s="13"/>
      <c r="AK114" s="13"/>
      <c r="AL114" s="13"/>
      <c r="AM114" s="13"/>
      <c r="AN114" s="13"/>
      <c r="AO114" s="13"/>
    </row>
    <row r="115" spans="21:41" x14ac:dyDescent="0.25">
      <c r="U115" s="13"/>
      <c r="V115" s="13"/>
      <c r="W115" s="13"/>
      <c r="X115" s="13"/>
      <c r="Y115" s="13"/>
      <c r="Z115" s="13"/>
      <c r="AA115" s="13"/>
      <c r="AB115" s="13"/>
      <c r="AC115" s="13"/>
      <c r="AD115" s="13"/>
      <c r="AE115" s="13"/>
      <c r="AF115" s="13"/>
      <c r="AG115" s="13"/>
      <c r="AH115" s="13"/>
      <c r="AI115" s="13"/>
      <c r="AJ115" s="13"/>
      <c r="AK115" s="13"/>
      <c r="AL115" s="13"/>
      <c r="AM115" s="13"/>
      <c r="AN115" s="13"/>
      <c r="AO115" s="13"/>
    </row>
    <row r="116" spans="21:41" x14ac:dyDescent="0.25">
      <c r="U116" s="13"/>
      <c r="V116" s="13"/>
      <c r="W116" s="13"/>
      <c r="X116" s="13"/>
      <c r="Y116" s="13"/>
      <c r="Z116" s="13"/>
      <c r="AA116" s="13"/>
      <c r="AB116" s="13"/>
      <c r="AC116" s="13"/>
      <c r="AD116" s="13"/>
      <c r="AE116" s="13"/>
      <c r="AF116" s="13"/>
      <c r="AG116" s="13"/>
      <c r="AH116" s="13"/>
      <c r="AI116" s="13"/>
      <c r="AJ116" s="13"/>
      <c r="AK116" s="13"/>
      <c r="AL116" s="13"/>
      <c r="AM116" s="13"/>
      <c r="AN116" s="13"/>
      <c r="AO116" s="13"/>
    </row>
    <row r="117" spans="21:41" x14ac:dyDescent="0.25">
      <c r="U117" s="13"/>
      <c r="V117" s="13"/>
      <c r="W117" s="13"/>
      <c r="X117" s="13"/>
      <c r="Y117" s="13"/>
      <c r="Z117" s="13"/>
      <c r="AA117" s="13"/>
      <c r="AB117" s="13"/>
      <c r="AC117" s="13"/>
      <c r="AD117" s="13"/>
      <c r="AE117" s="13"/>
      <c r="AF117" s="13"/>
      <c r="AG117" s="13"/>
      <c r="AH117" s="13"/>
      <c r="AI117" s="13"/>
      <c r="AJ117" s="13"/>
      <c r="AK117" s="13"/>
      <c r="AL117" s="13"/>
      <c r="AM117" s="13"/>
      <c r="AN117" s="13"/>
      <c r="AO117" s="13"/>
    </row>
    <row r="118" spans="21:41" x14ac:dyDescent="0.25">
      <c r="U118" s="13"/>
      <c r="V118" s="13"/>
      <c r="W118" s="13"/>
      <c r="X118" s="13"/>
      <c r="Y118" s="13"/>
      <c r="Z118" s="13"/>
      <c r="AA118" s="13"/>
      <c r="AB118" s="13"/>
      <c r="AC118" s="13"/>
      <c r="AD118" s="13"/>
      <c r="AE118" s="13"/>
      <c r="AF118" s="13"/>
      <c r="AG118" s="13"/>
      <c r="AH118" s="13"/>
      <c r="AI118" s="13"/>
      <c r="AJ118" s="13"/>
      <c r="AK118" s="13"/>
      <c r="AL118" s="13"/>
      <c r="AM118" s="13"/>
      <c r="AN118" s="13"/>
      <c r="AO118" s="13"/>
    </row>
    <row r="119" spans="21:41" x14ac:dyDescent="0.25">
      <c r="U119" s="13"/>
      <c r="V119" s="13"/>
      <c r="W119" s="13"/>
      <c r="X119" s="13"/>
      <c r="Y119" s="13"/>
      <c r="Z119" s="13"/>
      <c r="AA119" s="13"/>
      <c r="AB119" s="13"/>
      <c r="AC119" s="13"/>
      <c r="AD119" s="13"/>
      <c r="AE119" s="13"/>
      <c r="AF119" s="13"/>
      <c r="AG119" s="13"/>
      <c r="AH119" s="13"/>
      <c r="AI119" s="13"/>
      <c r="AJ119" s="13"/>
      <c r="AK119" s="13"/>
      <c r="AL119" s="13"/>
      <c r="AM119" s="13"/>
      <c r="AN119" s="13"/>
      <c r="AO119" s="13"/>
    </row>
    <row r="120" spans="21:41" x14ac:dyDescent="0.25">
      <c r="U120" s="13"/>
      <c r="V120" s="13"/>
      <c r="W120" s="13"/>
      <c r="X120" s="13"/>
      <c r="Y120" s="13"/>
      <c r="Z120" s="13"/>
      <c r="AA120" s="13"/>
      <c r="AB120" s="13"/>
      <c r="AC120" s="13"/>
      <c r="AD120" s="13"/>
      <c r="AE120" s="13"/>
      <c r="AF120" s="13"/>
      <c r="AG120" s="13"/>
      <c r="AH120" s="13"/>
      <c r="AI120" s="13"/>
      <c r="AJ120" s="13"/>
      <c r="AK120" s="13"/>
      <c r="AL120" s="13"/>
      <c r="AM120" s="13"/>
      <c r="AN120" s="13"/>
      <c r="AO120" s="13"/>
    </row>
    <row r="121" spans="21:41" x14ac:dyDescent="0.25">
      <c r="U121" s="13"/>
      <c r="V121" s="13"/>
      <c r="W121" s="13"/>
      <c r="X121" s="13"/>
      <c r="Y121" s="13"/>
      <c r="Z121" s="13"/>
      <c r="AA121" s="13"/>
      <c r="AB121" s="13"/>
      <c r="AC121" s="13"/>
      <c r="AD121" s="13"/>
      <c r="AE121" s="13"/>
      <c r="AF121" s="13"/>
      <c r="AG121" s="13"/>
      <c r="AH121" s="13"/>
      <c r="AI121" s="13"/>
      <c r="AJ121" s="13"/>
      <c r="AK121" s="13"/>
      <c r="AL121" s="13"/>
      <c r="AM121" s="13"/>
      <c r="AN121" s="13"/>
      <c r="AO121" s="13"/>
    </row>
    <row r="122" spans="21:41" x14ac:dyDescent="0.25">
      <c r="U122" s="13"/>
      <c r="V122" s="13"/>
      <c r="W122" s="13"/>
      <c r="X122" s="13"/>
      <c r="Y122" s="13"/>
      <c r="Z122" s="13"/>
      <c r="AA122" s="13"/>
      <c r="AB122" s="13"/>
      <c r="AC122" s="13"/>
      <c r="AD122" s="13"/>
      <c r="AE122" s="13"/>
      <c r="AF122" s="13"/>
      <c r="AG122" s="13"/>
      <c r="AH122" s="13"/>
      <c r="AI122" s="13"/>
      <c r="AJ122" s="13"/>
      <c r="AK122" s="13"/>
      <c r="AL122" s="13"/>
      <c r="AM122" s="13"/>
      <c r="AN122" s="13"/>
      <c r="AO122" s="13"/>
    </row>
    <row r="123" spans="21:41" x14ac:dyDescent="0.25">
      <c r="U123" s="13"/>
      <c r="V123" s="13"/>
      <c r="W123" s="13"/>
      <c r="X123" s="13"/>
      <c r="Y123" s="13"/>
      <c r="Z123" s="13"/>
      <c r="AA123" s="13"/>
      <c r="AB123" s="13"/>
      <c r="AC123" s="13"/>
      <c r="AD123" s="13"/>
      <c r="AE123" s="13"/>
      <c r="AF123" s="13"/>
      <c r="AG123" s="13"/>
      <c r="AH123" s="13"/>
      <c r="AI123" s="13"/>
      <c r="AJ123" s="13"/>
      <c r="AK123" s="13"/>
      <c r="AL123" s="13"/>
      <c r="AM123" s="13"/>
      <c r="AN123" s="13"/>
      <c r="AO123" s="13"/>
    </row>
    <row r="124" spans="21:41" x14ac:dyDescent="0.25">
      <c r="U124" s="13"/>
      <c r="V124" s="13"/>
      <c r="W124" s="13"/>
      <c r="X124" s="13"/>
      <c r="Y124" s="13"/>
      <c r="Z124" s="13"/>
      <c r="AA124" s="13"/>
      <c r="AB124" s="13"/>
      <c r="AC124" s="13"/>
      <c r="AD124" s="13"/>
      <c r="AE124" s="13"/>
      <c r="AF124" s="13"/>
      <c r="AG124" s="13"/>
      <c r="AH124" s="13"/>
      <c r="AI124" s="13"/>
      <c r="AJ124" s="13"/>
      <c r="AK124" s="13"/>
      <c r="AL124" s="13"/>
      <c r="AM124" s="13"/>
      <c r="AN124" s="13"/>
      <c r="AO124" s="13"/>
    </row>
    <row r="125" spans="21:41" x14ac:dyDescent="0.25">
      <c r="U125" s="13"/>
      <c r="V125" s="13"/>
      <c r="W125" s="13"/>
      <c r="X125" s="13"/>
      <c r="Y125" s="13"/>
      <c r="Z125" s="13"/>
      <c r="AA125" s="13"/>
      <c r="AB125" s="13"/>
      <c r="AC125" s="13"/>
      <c r="AD125" s="13"/>
      <c r="AE125" s="13"/>
      <c r="AF125" s="13"/>
      <c r="AG125" s="13"/>
      <c r="AH125" s="13"/>
      <c r="AI125" s="13"/>
      <c r="AJ125" s="13"/>
      <c r="AK125" s="13"/>
      <c r="AL125" s="13"/>
      <c r="AM125" s="13"/>
      <c r="AN125" s="13"/>
      <c r="AO125" s="13"/>
    </row>
    <row r="126" spans="21:41" x14ac:dyDescent="0.25">
      <c r="U126" s="13"/>
      <c r="V126" s="13"/>
      <c r="W126" s="13"/>
      <c r="X126" s="13"/>
      <c r="Y126" s="13"/>
      <c r="Z126" s="13"/>
      <c r="AA126" s="13"/>
      <c r="AB126" s="13"/>
      <c r="AC126" s="13"/>
      <c r="AD126" s="13"/>
      <c r="AE126" s="13"/>
      <c r="AF126" s="13"/>
      <c r="AG126" s="13"/>
      <c r="AH126" s="13"/>
      <c r="AI126" s="13"/>
      <c r="AJ126" s="13"/>
      <c r="AK126" s="13"/>
      <c r="AL126" s="13"/>
      <c r="AM126" s="13"/>
      <c r="AN126" s="13"/>
      <c r="AO126" s="13"/>
    </row>
    <row r="127" spans="21:41" x14ac:dyDescent="0.25">
      <c r="U127" s="13"/>
      <c r="V127" s="13"/>
      <c r="W127" s="13"/>
      <c r="X127" s="13"/>
      <c r="Y127" s="13"/>
      <c r="Z127" s="13"/>
      <c r="AA127" s="13"/>
      <c r="AB127" s="13"/>
      <c r="AC127" s="13"/>
      <c r="AD127" s="13"/>
      <c r="AE127" s="13"/>
      <c r="AF127" s="13"/>
      <c r="AG127" s="13"/>
      <c r="AH127" s="13"/>
      <c r="AI127" s="13"/>
      <c r="AJ127" s="13"/>
      <c r="AK127" s="13"/>
      <c r="AL127" s="13"/>
      <c r="AM127" s="13"/>
      <c r="AN127" s="13"/>
      <c r="AO127" s="13"/>
    </row>
    <row r="128" spans="21:41" x14ac:dyDescent="0.25">
      <c r="U128" s="13"/>
      <c r="V128" s="13"/>
      <c r="W128" s="13"/>
      <c r="X128" s="13"/>
      <c r="Y128" s="13"/>
      <c r="Z128" s="13"/>
      <c r="AA128" s="13"/>
      <c r="AB128" s="13"/>
      <c r="AC128" s="13"/>
      <c r="AD128" s="13"/>
      <c r="AE128" s="13"/>
      <c r="AF128" s="13"/>
      <c r="AG128" s="13"/>
      <c r="AH128" s="13"/>
      <c r="AI128" s="13"/>
      <c r="AJ128" s="13"/>
      <c r="AK128" s="13"/>
      <c r="AL128" s="13"/>
      <c r="AM128" s="13"/>
      <c r="AN128" s="13"/>
      <c r="AO128"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B8A5-BFEA-4EFD-BB44-19EA7F0E7FCB}">
  <dimension ref="A1"/>
  <sheetViews>
    <sheetView workbookViewId="0">
      <selection activeCell="J9" sqref="J9"/>
    </sheetView>
  </sheetViews>
  <sheetFormatPr defaultRowHeight="15" x14ac:dyDescent="0.25"/>
  <cols>
    <col min="1" max="16384" width="9.140625" style="1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E53C32B-DA14-4DDC-ADF9-F0789586F192}">
  <ds:schemaRefs/>
</ds:datastoreItem>
</file>

<file path=customXml/itemProps2.xml><?xml version="1.0" encoding="utf-8"?>
<ds:datastoreItem xmlns:ds="http://schemas.openxmlformats.org/officeDocument/2006/customXml" ds:itemID="{3511E8B9-A76E-4494-8D71-4AF77E8E2A01}">
  <ds:schemaRefs/>
</ds:datastoreItem>
</file>

<file path=customXml/itemProps3.xml><?xml version="1.0" encoding="utf-8"?>
<ds:datastoreItem xmlns:ds="http://schemas.openxmlformats.org/officeDocument/2006/customXml" ds:itemID="{19B5037F-AAE4-4201-8A83-339F6E48A906}">
  <ds:schemaRefs/>
</ds:datastoreItem>
</file>

<file path=customXml/itemProps4.xml><?xml version="1.0" encoding="utf-8"?>
<ds:datastoreItem xmlns:ds="http://schemas.openxmlformats.org/officeDocument/2006/customXml" ds:itemID="{81B6A4B6-35E6-4878-B507-FCA3B0EB116A}">
  <ds:schemaRefs/>
</ds:datastoreItem>
</file>

<file path=customXml/itemProps5.xml><?xml version="1.0" encoding="utf-8"?>
<ds:datastoreItem xmlns:ds="http://schemas.openxmlformats.org/officeDocument/2006/customXml" ds:itemID="{C2A1FEA1-4640-4162-94EE-587E06876A36}">
  <ds:schemaRefs/>
</ds:datastoreItem>
</file>

<file path=customXml/itemProps6.xml><?xml version="1.0" encoding="utf-8"?>
<ds:datastoreItem xmlns:ds="http://schemas.openxmlformats.org/officeDocument/2006/customXml" ds:itemID="{570127A2-9730-4AE5-BD33-581A813CF1F8}">
  <ds:schemaRefs/>
</ds:datastoreItem>
</file>

<file path=customXml/itemProps7.xml><?xml version="1.0" encoding="utf-8"?>
<ds:datastoreItem xmlns:ds="http://schemas.openxmlformats.org/officeDocument/2006/customXml" ds:itemID="{1E4608A6-EC1B-4034-828B-1D315A3B7328}">
  <ds:schemaRefs/>
</ds:datastoreItem>
</file>

<file path=customXml/itemProps8.xml><?xml version="1.0" encoding="utf-8"?>
<ds:datastoreItem xmlns:ds="http://schemas.openxmlformats.org/officeDocument/2006/customXml" ds:itemID="{1D4196E2-2941-4B86-AF50-82C078EB5D7F}">
  <ds:schemaRefs/>
</ds:datastoreItem>
</file>

<file path=customXml/itemProps9.xml><?xml version="1.0" encoding="utf-8"?>
<ds:datastoreItem xmlns:ds="http://schemas.openxmlformats.org/officeDocument/2006/customXml" ds:itemID="{4D76CB71-68F6-40F6-ABFC-C276650651C7}">
  <ds:schemaRefs/>
</ds:datastoreItem>
</file>

<file path=customXml/itemProps10.xml><?xml version="1.0" encoding="utf-8"?>
<ds:datastoreItem xmlns:ds="http://schemas.openxmlformats.org/officeDocument/2006/customXml" ds:itemID="{32F60147-C26E-4D47-8346-3E14DFE50267}">
  <ds:schemaRefs/>
</ds:datastoreItem>
</file>

<file path=customXml/itemProps11.xml><?xml version="1.0" encoding="utf-8"?>
<ds:datastoreItem xmlns:ds="http://schemas.openxmlformats.org/officeDocument/2006/customXml" ds:itemID="{DB07F7B6-BB9B-460C-B2ED-E6212558E47E}">
  <ds:schemaRefs/>
</ds:datastoreItem>
</file>

<file path=customXml/itemProps12.xml><?xml version="1.0" encoding="utf-8"?>
<ds:datastoreItem xmlns:ds="http://schemas.openxmlformats.org/officeDocument/2006/customXml" ds:itemID="{AA82804A-88E5-4430-8D99-4C5A89666082}">
  <ds:schemaRefs/>
</ds:datastoreItem>
</file>

<file path=customXml/itemProps13.xml><?xml version="1.0" encoding="utf-8"?>
<ds:datastoreItem xmlns:ds="http://schemas.openxmlformats.org/officeDocument/2006/customXml" ds:itemID="{429EB81D-D678-4B71-BBAC-BC14064CF71E}">
  <ds:schemaRefs/>
</ds:datastoreItem>
</file>

<file path=customXml/itemProps14.xml><?xml version="1.0" encoding="utf-8"?>
<ds:datastoreItem xmlns:ds="http://schemas.openxmlformats.org/officeDocument/2006/customXml" ds:itemID="{FF612F07-EAAD-46BC-B8CF-18AE55A277CE}">
  <ds:schemaRefs>
    <ds:schemaRef ds:uri="http://schemas.microsoft.com/DataMashup"/>
  </ds:schemaRefs>
</ds:datastoreItem>
</file>

<file path=customXml/itemProps15.xml><?xml version="1.0" encoding="utf-8"?>
<ds:datastoreItem xmlns:ds="http://schemas.openxmlformats.org/officeDocument/2006/customXml" ds:itemID="{E5840C13-8CA8-4B3D-90B4-C40FCED2DC3F}">
  <ds:schemaRefs/>
</ds:datastoreItem>
</file>

<file path=customXml/itemProps16.xml><?xml version="1.0" encoding="utf-8"?>
<ds:datastoreItem xmlns:ds="http://schemas.openxmlformats.org/officeDocument/2006/customXml" ds:itemID="{93165273-DE53-49B6-8D4A-DCFE68F8582E}">
  <ds:schemaRefs/>
</ds:datastoreItem>
</file>

<file path=customXml/itemProps17.xml><?xml version="1.0" encoding="utf-8"?>
<ds:datastoreItem xmlns:ds="http://schemas.openxmlformats.org/officeDocument/2006/customXml" ds:itemID="{F46A9420-5668-4A94-A6FE-AE2DF541DA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Palmoria Group emp-data - Copy</vt:lpstr>
      <vt:lpstr>Bonus Rules</vt:lpstr>
      <vt:lpstr>Palm</vt:lpstr>
      <vt:lpstr>Aggregates</vt:lpstr>
      <vt:lpstr>Insights</vt:lpstr>
      <vt:lpstr>DashBoard2</vt:lpstr>
      <vt:lpstr>Sheet3</vt:lpstr>
      <vt:lpstr>Dashboard</vt:lpstr>
      <vt:lpstr>Dashboard (3)</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Iluyemi</dc:creator>
  <cp:lastModifiedBy>Joy Iluyemi</cp:lastModifiedBy>
  <dcterms:created xsi:type="dcterms:W3CDTF">2025-07-14T08:40:51Z</dcterms:created>
  <dcterms:modified xsi:type="dcterms:W3CDTF">2025-11-26T13:05:30Z</dcterms:modified>
</cp:coreProperties>
</file>